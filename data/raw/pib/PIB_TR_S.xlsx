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delaziz.lamara\Desktop\"/>
    </mc:Choice>
  </mc:AlternateContent>
  <bookViews>
    <workbookView xWindow="0" yWindow="0" windowWidth="14370" windowHeight="11325" activeTab="5"/>
  </bookViews>
  <sheets>
    <sheet name="PIB_N" sheetId="1" r:id="rId1"/>
    <sheet name="Tn" sheetId="2" r:id="rId2"/>
    <sheet name="Tv" sheetId="3" r:id="rId3"/>
    <sheet name="Def" sheetId="4" r:id="rId4"/>
    <sheet name="PIB_R" sheetId="5" r:id="rId5"/>
    <sheet name="PIB_R_SA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97" i="6" l="1"/>
  <c r="AU98" i="6"/>
  <c r="AU99" i="6"/>
  <c r="AU100" i="6"/>
  <c r="AU101" i="6"/>
  <c r="AU102" i="6"/>
  <c r="AU103" i="6"/>
  <c r="AU104" i="6"/>
  <c r="AU106" i="6"/>
  <c r="AU107" i="6"/>
  <c r="AU108" i="6"/>
  <c r="AU105" i="6"/>
  <c r="AS106" i="6"/>
  <c r="AS107" i="6"/>
  <c r="AS108" i="6"/>
  <c r="AS105" i="6"/>
  <c r="F111" i="6" l="1"/>
  <c r="AC115" i="6"/>
  <c r="AC114" i="6"/>
  <c r="AC113" i="6"/>
  <c r="AC116" i="6"/>
  <c r="F95" i="6"/>
  <c r="F96" i="6"/>
  <c r="F97" i="6"/>
  <c r="F98" i="6"/>
  <c r="F99" i="6"/>
  <c r="F100" i="6"/>
  <c r="F101" i="6"/>
  <c r="F102" i="6"/>
  <c r="F103" i="6"/>
  <c r="F104" i="6"/>
  <c r="D106" i="6"/>
  <c r="D107" i="6"/>
  <c r="D108" i="6"/>
  <c r="D105" i="6"/>
  <c r="F105" i="6" s="1"/>
  <c r="AB111" i="6"/>
  <c r="AB93" i="6"/>
  <c r="AB94" i="6"/>
  <c r="AB95" i="6"/>
  <c r="AB96" i="6"/>
  <c r="AB97" i="6"/>
  <c r="AB98" i="6"/>
  <c r="AB99" i="6"/>
  <c r="AB100" i="6"/>
  <c r="AB101" i="6"/>
  <c r="AB102" i="6"/>
  <c r="AB103" i="6"/>
  <c r="AB104" i="6"/>
  <c r="Z106" i="6"/>
  <c r="Z107" i="6"/>
  <c r="AB108" i="6" s="1"/>
  <c r="Z108" i="6"/>
  <c r="Z105" i="6"/>
  <c r="A103" i="6"/>
  <c r="A104" i="6" s="1"/>
  <c r="A105" i="6" s="1"/>
  <c r="A106" i="6" s="1"/>
  <c r="A107" i="6" s="1"/>
  <c r="A108" i="6" s="1"/>
  <c r="F108" i="6" l="1"/>
  <c r="F106" i="6"/>
  <c r="F107" i="6"/>
  <c r="AB107" i="6"/>
  <c r="AB106" i="6"/>
  <c r="AB105" i="6"/>
  <c r="A103" i="2"/>
  <c r="A104" i="2" s="1"/>
  <c r="A103" i="3" l="1"/>
  <c r="A104" i="3" s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5" i="1"/>
  <c r="A103" i="1" l="1"/>
  <c r="A104" i="1" s="1"/>
  <c r="A102" i="6" l="1"/>
  <c r="A102" i="5"/>
  <c r="A102" i="4"/>
  <c r="A102" i="3"/>
  <c r="A102" i="2"/>
  <c r="A102" i="1"/>
  <c r="A101" i="6" l="1"/>
  <c r="A101" i="5"/>
  <c r="A101" i="4"/>
  <c r="A101" i="2" l="1"/>
  <c r="A99" i="6" l="1"/>
  <c r="A100" i="6" s="1"/>
  <c r="A99" i="5"/>
  <c r="A100" i="5" s="1"/>
  <c r="A99" i="4"/>
  <c r="A100" i="4" s="1"/>
  <c r="A99" i="2"/>
  <c r="A100" i="2" s="1"/>
  <c r="A98" i="5" l="1"/>
  <c r="A98" i="2"/>
  <c r="A98" i="6"/>
  <c r="A97" i="4"/>
  <c r="A98" i="4"/>
  <c r="A97" i="6" l="1"/>
  <c r="A97" i="5"/>
  <c r="A97" i="2" l="1"/>
  <c r="A6" i="5" l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6" i="6" l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6" i="4" l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6" i="2" l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</calcChain>
</file>

<file path=xl/sharedStrings.xml><?xml version="1.0" encoding="utf-8"?>
<sst xmlns="http://schemas.openxmlformats.org/spreadsheetml/2006/main" count="253" uniqueCount="50">
  <si>
    <t xml:space="preserve">date </t>
  </si>
  <si>
    <t>VALEURS AJOUTEES PAR SECTEUR D'ACTIVITES AUX PRIX COURANTS T1 2001-T4 2023              En millions de DA</t>
  </si>
  <si>
    <t>Variation Nominale</t>
  </si>
  <si>
    <t>Variation t/t-4 en %</t>
  </si>
  <si>
    <t>Taux de croissance des valeurs ajoutées aux prix de l'année précédente chainés</t>
  </si>
  <si>
    <t>variation des prix</t>
  </si>
  <si>
    <t>Volume des valeurs ajoutées aux prix de l'année précédente chainés</t>
  </si>
  <si>
    <t>Volume des valeurs ajoutées aux prix de l'année précédente chainés seasonally adjusted</t>
  </si>
  <si>
    <t>Branche Unité Fictive (BUF)</t>
  </si>
  <si>
    <t>Construction</t>
  </si>
  <si>
    <t xml:space="preserve">  marchands</t>
  </si>
  <si>
    <t>Hôtels et restaurations</t>
  </si>
  <si>
    <t>Activités financières</t>
  </si>
  <si>
    <t>Services non marchands</t>
  </si>
  <si>
    <t>Administration publique</t>
  </si>
  <si>
    <t>Impôts sur les  importations</t>
  </si>
  <si>
    <t>Autres impôts sur  produits nets de subventions</t>
  </si>
  <si>
    <t xml:space="preserve"> Produit Intérieur Brut</t>
  </si>
  <si>
    <t>Produit Intérieur Brut hors extractives</t>
  </si>
  <si>
    <t xml:space="preserve"> Valeurs Ajoutées Brutes ONS</t>
  </si>
  <si>
    <t>Production et distribution d'électricité. de gaz</t>
  </si>
  <si>
    <t>Commerce. réparation-auto et d'articles domestiques</t>
  </si>
  <si>
    <t>Transports. et communications</t>
  </si>
  <si>
    <t xml:space="preserve">Immobilier. location et services aux entreprises </t>
  </si>
  <si>
    <t>Agriculture et pêche</t>
  </si>
  <si>
    <t>Extraction d'hydrocarbures et services annexes</t>
  </si>
  <si>
    <t>Autres industries extractives</t>
  </si>
  <si>
    <t>Industries alimentaires et du tabac</t>
  </si>
  <si>
    <t>Industrie textile, de l'habillement et des fourrures</t>
  </si>
  <si>
    <t>Industrie du cuir et de la chaussure</t>
  </si>
  <si>
    <t>Fabrication d'articles en bois et en papier, imprimerie et reproduction</t>
  </si>
  <si>
    <t>Raffinage et cokéfaction</t>
  </si>
  <si>
    <t>Industrie chimique, du caoutchouc et des plastiques</t>
  </si>
  <si>
    <t>Fabrication d'autres produits minéraux non métalliques</t>
  </si>
  <si>
    <t>Métallurgie, travail des métaux</t>
  </si>
  <si>
    <t>Fabrication de machines et équipements</t>
  </si>
  <si>
    <t>Fabrication de machines de bureau et matériel informatique</t>
  </si>
  <si>
    <t>Fabrication de machines et appareils électriques</t>
  </si>
  <si>
    <t>Fabrication d'équipements de communication et d’instruments médicaux</t>
  </si>
  <si>
    <t>Autres industries manufacturières</t>
  </si>
  <si>
    <t>Éducation, santé et action sociale</t>
  </si>
  <si>
    <t>Services collectifs, sociaux, personnels et domestiques</t>
  </si>
  <si>
    <t>Indistries extractives</t>
  </si>
  <si>
    <t>Industries manufacturières</t>
  </si>
  <si>
    <t>Industries extractives</t>
  </si>
  <si>
    <t>Industries manufacturières hors raffinage</t>
  </si>
  <si>
    <t>Industries manufacturières hors raffinage &amp; agroalimentaire</t>
  </si>
  <si>
    <t>Total services</t>
  </si>
  <si>
    <t>yoy</t>
  </si>
  <si>
    <t>qoq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</si>
</sst>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\-* #,##0.00_-;_-* &quot;-&quot;??_-;_-@_-"/>
    <numFmt numFmtId="165" formatCode="0.0%"/>
    <numFmt numFmtId="166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Times New Roman"/>
      <family val="1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MS Sans Serif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9">
    <xf numFmtId="0" fontId="0" fillId="0" borderId="0" xfId="0"/>
    <xf numFmtId="17" fontId="2" fillId="0" borderId="0" xfId="0" applyNumberFormat="1" applyFont="1"/>
    <xf numFmtId="165" fontId="0" fillId="0" borderId="0" xfId="1" applyNumberFormat="1" applyFont="1"/>
    <xf numFmtId="0" fontId="5" fillId="0" borderId="0" xfId="0" applyFont="1"/>
    <xf numFmtId="0" fontId="6" fillId="0" borderId="0" xfId="0" applyFont="1"/>
    <xf numFmtId="0" fontId="4" fillId="0" borderId="0" xfId="0" applyFont="1"/>
    <xf numFmtId="2" fontId="0" fillId="0" borderId="0" xfId="0" applyNumberFormat="1"/>
    <xf numFmtId="0" fontId="3" fillId="3" borderId="1" xfId="0" applyFont="1" applyFill="1" applyBorder="1" applyAlignment="1">
      <alignment horizontal="center" vertical="center" wrapText="1"/>
    </xf>
    <xf numFmtId="166" fontId="0" fillId="0" borderId="0" xfId="0" applyNumberFormat="1"/>
    <xf numFmtId="0" fontId="0" fillId="0" borderId="0" xfId="0" applyNumberFormat="1"/>
    <xf numFmtId="9" fontId="0" fillId="0" borderId="0" xfId="1" applyFont="1"/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Fill="1"/>
    <xf numFmtId="0" fontId="3" fillId="2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0" fillId="0" borderId="0" xfId="0" applyBorder="1"/>
    <xf numFmtId="165" fontId="7" fillId="0" borderId="0" xfId="1" applyNumberFormat="1" applyFont="1" applyFill="1" applyBorder="1" applyAlignment="1">
      <alignment horizontal="center"/>
    </xf>
    <xf numFmtId="165" fontId="10" fillId="0" borderId="0" xfId="1" applyNumberFormat="1" applyFont="1" applyFill="1" applyBorder="1" applyAlignment="1">
      <alignment horizontal="center"/>
    </xf>
    <xf numFmtId="165" fontId="0" fillId="0" borderId="0" xfId="1" applyNumberFormat="1" applyFont="1" applyFill="1" applyBorder="1"/>
    <xf numFmtId="165" fontId="8" fillId="0" borderId="0" xfId="1" applyNumberFormat="1" applyFont="1" applyFill="1" applyBorder="1" applyAlignment="1">
      <alignment vertical="center"/>
    </xf>
    <xf numFmtId="165" fontId="11" fillId="0" borderId="0" xfId="1" applyNumberFormat="1" applyFont="1" applyFill="1" applyBorder="1"/>
    <xf numFmtId="0" fontId="3" fillId="0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17" fontId="2" fillId="0" borderId="0" xfId="0" applyNumberFormat="1" applyFont="1" applyFill="1"/>
    <xf numFmtId="165" fontId="0" fillId="0" borderId="0" xfId="1" applyNumberFormat="1" applyFont="1" applyFill="1"/>
    <xf numFmtId="0" fontId="3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66" fontId="0" fillId="0" borderId="0" xfId="0" applyNumberFormat="1" applyFill="1"/>
    <xf numFmtId="0" fontId="0" fillId="0" borderId="0" xfId="0" applyNumberFormat="1" applyFill="1"/>
    <xf numFmtId="165" fontId="0" fillId="0" borderId="0" xfId="0" applyNumberFormat="1"/>
    <xf numFmtId="164" fontId="0" fillId="0" borderId="0" xfId="2" applyFont="1"/>
    <xf numFmtId="164" fontId="0" fillId="0" borderId="0" xfId="2" applyFont="1" applyFill="1"/>
    <xf numFmtId="165" fontId="0" fillId="11" borderId="0" xfId="1" applyNumberFormat="1" applyFont="1" applyFill="1"/>
    <xf numFmtId="165" fontId="0" fillId="0" borderId="0" xfId="1" applyNumberFormat="1" applyFont="1" applyBorder="1"/>
    <xf numFmtId="165" fontId="0" fillId="12" borderId="0" xfId="1" applyNumberFormat="1" applyFont="1" applyFill="1"/>
    <xf numFmtId="9" fontId="0" fillId="12" borderId="0" xfId="1" applyFont="1" applyFill="1"/>
    <xf numFmtId="10" fontId="0" fillId="0" borderId="0" xfId="0" applyNumberFormat="1"/>
    <xf numFmtId="165" fontId="4" fillId="0" borderId="0" xfId="1" applyNumberFormat="1" applyFont="1"/>
    <xf numFmtId="9" fontId="4" fillId="0" borderId="0" xfId="1" applyFont="1"/>
    <xf numFmtId="9" fontId="0" fillId="11" borderId="0" xfId="1" applyFont="1" applyFill="1"/>
    <xf numFmtId="0" fontId="9" fillId="10" borderId="3" xfId="0" applyFont="1" applyFill="1" applyBorder="1" applyAlignment="1">
      <alignment horizontal="center" vertical="center" wrapText="1"/>
    </xf>
  </cellXfs>
  <cellStyles count="3">
    <cellStyle name="Milliers" xfId="2" builtinId="3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3:AN104"/>
  <sheetViews>
    <sheetView zoomScale="60" zoomScaleNormal="6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O5" sqref="AO5"/>
    </sheetView>
  </sheetViews>
  <sheetFormatPr baseColWidth="10" defaultRowHeight="15" x14ac:dyDescent="0.25"/>
  <cols>
    <col min="1" max="1" width="13.5703125" customWidth="1"/>
    <col min="2" max="2" width="21" customWidth="1"/>
    <col min="3" max="3" width="12.7109375" customWidth="1"/>
    <col min="4" max="4" width="15.28515625" customWidth="1"/>
    <col min="5" max="5" width="12.140625" bestFit="1" customWidth="1"/>
    <col min="6" max="22" width="15.28515625" customWidth="1"/>
    <col min="23" max="23" width="13.140625" bestFit="1" customWidth="1"/>
    <col min="24" max="24" width="12.140625" bestFit="1" customWidth="1"/>
    <col min="25" max="25" width="12.140625" customWidth="1"/>
    <col min="26" max="26" width="12.140625" bestFit="1" customWidth="1"/>
    <col min="27" max="27" width="16.28515625" customWidth="1"/>
    <col min="28" max="28" width="12.7109375" customWidth="1"/>
    <col min="29" max="29" width="15.42578125" customWidth="1"/>
    <col min="30" max="30" width="11.7109375" customWidth="1"/>
    <col min="31" max="31" width="11.85546875" customWidth="1"/>
    <col min="32" max="32" width="10.85546875" customWidth="1"/>
    <col min="33" max="33" width="14.42578125" customWidth="1"/>
    <col min="34" max="35" width="10.140625" customWidth="1"/>
    <col min="36" max="36" width="11" customWidth="1"/>
    <col min="37" max="37" width="12.85546875" customWidth="1"/>
    <col min="38" max="38" width="11.5703125" bestFit="1" customWidth="1"/>
    <col min="39" max="39" width="12.7109375" customWidth="1"/>
    <col min="40" max="40" width="15" customWidth="1"/>
  </cols>
  <sheetData>
    <row r="3" spans="1:40" x14ac:dyDescent="0.25">
      <c r="AA3" s="3" t="s">
        <v>1</v>
      </c>
    </row>
    <row r="4" spans="1:40" s="14" customFormat="1" ht="78" customHeight="1" x14ac:dyDescent="0.25">
      <c r="A4" s="12" t="s">
        <v>0</v>
      </c>
      <c r="B4" s="11" t="s">
        <v>24</v>
      </c>
      <c r="C4" s="11" t="s">
        <v>8</v>
      </c>
      <c r="D4" s="16" t="s">
        <v>44</v>
      </c>
      <c r="E4" s="17" t="s">
        <v>25</v>
      </c>
      <c r="F4" s="17" t="s">
        <v>26</v>
      </c>
      <c r="G4" s="22" t="s">
        <v>43</v>
      </c>
      <c r="H4" s="43" t="s">
        <v>45</v>
      </c>
      <c r="I4" s="43" t="s">
        <v>46</v>
      </c>
      <c r="J4" s="13" t="s">
        <v>27</v>
      </c>
      <c r="K4" s="13" t="s">
        <v>28</v>
      </c>
      <c r="L4" s="13" t="s">
        <v>29</v>
      </c>
      <c r="M4" s="13" t="s">
        <v>30</v>
      </c>
      <c r="N4" s="13" t="s">
        <v>31</v>
      </c>
      <c r="O4" s="13" t="s">
        <v>32</v>
      </c>
      <c r="P4" s="13" t="s">
        <v>33</v>
      </c>
      <c r="Q4" s="13" t="s">
        <v>34</v>
      </c>
      <c r="R4" s="13" t="s">
        <v>35</v>
      </c>
      <c r="S4" s="13" t="s">
        <v>36</v>
      </c>
      <c r="T4" s="13" t="s">
        <v>37</v>
      </c>
      <c r="U4" s="13" t="s">
        <v>38</v>
      </c>
      <c r="V4" s="13" t="s">
        <v>39</v>
      </c>
      <c r="W4" s="11" t="s">
        <v>20</v>
      </c>
      <c r="X4" s="11" t="s">
        <v>9</v>
      </c>
      <c r="Y4" s="44" t="s">
        <v>47</v>
      </c>
      <c r="Z4" s="18" t="s">
        <v>10</v>
      </c>
      <c r="AA4" s="19" t="s">
        <v>21</v>
      </c>
      <c r="AB4" s="15" t="s">
        <v>11</v>
      </c>
      <c r="AC4" s="15" t="s">
        <v>22</v>
      </c>
      <c r="AD4" s="15" t="s">
        <v>12</v>
      </c>
      <c r="AE4" s="15" t="s">
        <v>23</v>
      </c>
      <c r="AF4" s="20" t="s">
        <v>13</v>
      </c>
      <c r="AG4" s="7" t="s">
        <v>14</v>
      </c>
      <c r="AH4" s="7" t="s">
        <v>40</v>
      </c>
      <c r="AI4" s="7" t="s">
        <v>41</v>
      </c>
      <c r="AJ4" s="21" t="s">
        <v>19</v>
      </c>
      <c r="AK4" s="11" t="s">
        <v>15</v>
      </c>
      <c r="AL4" s="11" t="s">
        <v>16</v>
      </c>
      <c r="AM4" s="21" t="s">
        <v>17</v>
      </c>
      <c r="AN4" s="21" t="s">
        <v>18</v>
      </c>
    </row>
    <row r="5" spans="1:40" x14ac:dyDescent="0.25">
      <c r="A5" s="1">
        <v>36951</v>
      </c>
      <c r="B5" s="8">
        <v>102888.7</v>
      </c>
      <c r="C5" s="8">
        <v>-19085.7</v>
      </c>
      <c r="D5" s="8">
        <v>306120</v>
      </c>
      <c r="E5" s="8">
        <v>304198.59999999998</v>
      </c>
      <c r="F5" s="8">
        <v>1921.4</v>
      </c>
      <c r="G5" s="8">
        <v>118697.8</v>
      </c>
      <c r="H5" s="8">
        <v>70275.899999999994</v>
      </c>
      <c r="I5" s="8">
        <v>44656.999999999993</v>
      </c>
      <c r="J5" s="8">
        <v>25618.9</v>
      </c>
      <c r="K5" s="8">
        <v>12041.2</v>
      </c>
      <c r="L5" s="8">
        <v>1198.9000000000001</v>
      </c>
      <c r="M5" s="8">
        <v>4019.8</v>
      </c>
      <c r="N5" s="8">
        <v>48421.9</v>
      </c>
      <c r="O5" s="8">
        <v>5789.8</v>
      </c>
      <c r="P5" s="8">
        <v>8001.5</v>
      </c>
      <c r="Q5" s="8">
        <v>3903.2</v>
      </c>
      <c r="R5" s="8">
        <v>2149.9</v>
      </c>
      <c r="S5" s="8">
        <v>95.2</v>
      </c>
      <c r="T5" s="8">
        <v>1387.4</v>
      </c>
      <c r="U5" s="8">
        <v>1496.3</v>
      </c>
      <c r="V5" s="8">
        <v>4573.8999999999996</v>
      </c>
      <c r="W5" s="9">
        <v>14224.3</v>
      </c>
      <c r="X5" s="9">
        <v>77230.2</v>
      </c>
      <c r="Y5" s="8">
        <f>Z5+AF5</f>
        <v>489662.1</v>
      </c>
      <c r="Z5" s="8">
        <f>SUM(AA5:AE5)</f>
        <v>359795.20000000001</v>
      </c>
      <c r="AA5" s="9">
        <v>121613.6</v>
      </c>
      <c r="AB5" s="9">
        <v>10168.5</v>
      </c>
      <c r="AC5" s="9">
        <v>119764.3</v>
      </c>
      <c r="AD5" s="9">
        <v>24529.599999999999</v>
      </c>
      <c r="AE5" s="9">
        <v>83719.199999999997</v>
      </c>
      <c r="AF5">
        <f>AG5+AH5+AI5</f>
        <v>129866.9</v>
      </c>
      <c r="AG5" s="9">
        <v>70723.399999999994</v>
      </c>
      <c r="AH5" s="9">
        <v>48241.2</v>
      </c>
      <c r="AI5" s="9">
        <v>10902.3</v>
      </c>
      <c r="AJ5" s="9">
        <v>1089737.2</v>
      </c>
      <c r="AK5" s="9">
        <v>24960.400000000001</v>
      </c>
      <c r="AL5">
        <v>66188.2</v>
      </c>
      <c r="AM5" s="9">
        <v>1180885.8</v>
      </c>
      <c r="AN5" s="8">
        <f>AM5-D5</f>
        <v>874765.8</v>
      </c>
    </row>
    <row r="6" spans="1:40" x14ac:dyDescent="0.25">
      <c r="A6" s="1">
        <f>EDATE(A5,3)</f>
        <v>37043</v>
      </c>
      <c r="B6" s="8">
        <v>104085.9</v>
      </c>
      <c r="C6" s="8">
        <v>-19889.099999999999</v>
      </c>
      <c r="D6" s="8">
        <v>286537.40000000002</v>
      </c>
      <c r="E6" s="8">
        <v>284470.8</v>
      </c>
      <c r="F6" s="8">
        <v>2066.6</v>
      </c>
      <c r="G6" s="8">
        <v>125158</v>
      </c>
      <c r="H6" s="8">
        <v>71039.100000000006</v>
      </c>
      <c r="I6" s="8">
        <v>45568.200000000004</v>
      </c>
      <c r="J6" s="8">
        <v>25470.9</v>
      </c>
      <c r="K6" s="8">
        <v>11497.8</v>
      </c>
      <c r="L6" s="8">
        <v>1152.3</v>
      </c>
      <c r="M6" s="8">
        <v>4084.6</v>
      </c>
      <c r="N6" s="8">
        <v>54118.9</v>
      </c>
      <c r="O6" s="8">
        <v>5308.4</v>
      </c>
      <c r="P6" s="8">
        <v>8217</v>
      </c>
      <c r="Q6" s="8">
        <v>4030.2</v>
      </c>
      <c r="R6" s="8">
        <v>2642.8</v>
      </c>
      <c r="S6" s="8">
        <v>109.8</v>
      </c>
      <c r="T6" s="8">
        <v>1653.4</v>
      </c>
      <c r="U6" s="8">
        <v>1660.4</v>
      </c>
      <c r="V6" s="8">
        <v>5211.5</v>
      </c>
      <c r="W6" s="9">
        <v>15156.7</v>
      </c>
      <c r="X6" s="9">
        <v>68067.899999999994</v>
      </c>
      <c r="Y6" s="8">
        <f t="shared" ref="Y6:Y69" si="0">Z6+AF6</f>
        <v>536018.19999999995</v>
      </c>
      <c r="Z6" s="8">
        <f t="shared" ref="Z6:Z69" si="1">SUM(AA6:AE6)</f>
        <v>367473.9</v>
      </c>
      <c r="AA6" s="9">
        <v>124158.6</v>
      </c>
      <c r="AB6" s="9">
        <v>10986.9</v>
      </c>
      <c r="AC6" s="9">
        <v>121684.7</v>
      </c>
      <c r="AD6" s="9">
        <v>25728.5</v>
      </c>
      <c r="AE6" s="9">
        <v>84915.199999999997</v>
      </c>
      <c r="AF6">
        <f t="shared" ref="AF6:AF69" si="2">AG6+AH6+AI6</f>
        <v>168544.3</v>
      </c>
      <c r="AG6" s="9">
        <v>95903.4</v>
      </c>
      <c r="AH6" s="9">
        <v>61581.7</v>
      </c>
      <c r="AI6" s="9">
        <v>11059.2</v>
      </c>
      <c r="AJ6" s="9">
        <v>1115134.8</v>
      </c>
      <c r="AK6" s="9">
        <v>25990.7</v>
      </c>
      <c r="AL6">
        <v>64038</v>
      </c>
      <c r="AM6" s="9">
        <v>1205163.3999999999</v>
      </c>
      <c r="AN6" s="8">
        <f t="shared" ref="AN6:AN69" si="3">AM6-D6</f>
        <v>918625.99999999988</v>
      </c>
    </row>
    <row r="7" spans="1:40" x14ac:dyDescent="0.25">
      <c r="A7" s="1">
        <f t="shared" ref="A7:A70" si="4">EDATE(A6,3)</f>
        <v>37135</v>
      </c>
      <c r="B7" s="8">
        <v>93489.1</v>
      </c>
      <c r="C7" s="8">
        <v>-19658.5</v>
      </c>
      <c r="D7" s="8">
        <v>238567.7</v>
      </c>
      <c r="E7" s="8">
        <v>236410.3</v>
      </c>
      <c r="F7" s="8">
        <v>2157.4</v>
      </c>
      <c r="G7" s="8">
        <v>116822.9</v>
      </c>
      <c r="H7" s="8">
        <v>67836.299999999988</v>
      </c>
      <c r="I7" s="8">
        <v>44593.299999999988</v>
      </c>
      <c r="J7" s="8">
        <v>23243</v>
      </c>
      <c r="K7" s="8">
        <v>11244.7</v>
      </c>
      <c r="L7" s="8">
        <v>993.2</v>
      </c>
      <c r="M7" s="8">
        <v>4129.8999999999996</v>
      </c>
      <c r="N7" s="8">
        <v>48986.6</v>
      </c>
      <c r="O7" s="8">
        <v>5107.3999999999996</v>
      </c>
      <c r="P7" s="8">
        <v>8380.1</v>
      </c>
      <c r="Q7" s="8">
        <v>3884.2</v>
      </c>
      <c r="R7" s="8">
        <v>2688.9</v>
      </c>
      <c r="S7" s="8">
        <v>119.5</v>
      </c>
      <c r="T7" s="8">
        <v>1396.5</v>
      </c>
      <c r="U7" s="8">
        <v>1581.2</v>
      </c>
      <c r="V7" s="8">
        <v>5067.8999999999996</v>
      </c>
      <c r="W7" s="9">
        <v>14686.7</v>
      </c>
      <c r="X7" s="9">
        <v>72634.7</v>
      </c>
      <c r="Y7" s="8">
        <f t="shared" si="0"/>
        <v>489174.2</v>
      </c>
      <c r="Z7" s="8">
        <f t="shared" si="1"/>
        <v>363080.9</v>
      </c>
      <c r="AA7" s="9">
        <v>123893.7</v>
      </c>
      <c r="AB7" s="9">
        <v>12513.9</v>
      </c>
      <c r="AC7" s="9">
        <v>114835.9</v>
      </c>
      <c r="AD7" s="9">
        <v>25679.5</v>
      </c>
      <c r="AE7" s="9">
        <v>86157.9</v>
      </c>
      <c r="AF7">
        <f t="shared" si="2"/>
        <v>126093.3</v>
      </c>
      <c r="AG7" s="9">
        <v>67362.8</v>
      </c>
      <c r="AH7" s="9">
        <v>47628</v>
      </c>
      <c r="AI7" s="9">
        <v>11102.5</v>
      </c>
      <c r="AJ7" s="9">
        <v>1005716.7</v>
      </c>
      <c r="AK7" s="9">
        <v>26912</v>
      </c>
      <c r="AL7">
        <v>66319.8</v>
      </c>
      <c r="AM7" s="9">
        <v>1098948.5</v>
      </c>
      <c r="AN7" s="8">
        <f t="shared" si="3"/>
        <v>860380.8</v>
      </c>
    </row>
    <row r="8" spans="1:40" x14ac:dyDescent="0.25">
      <c r="A8" s="1">
        <f t="shared" si="4"/>
        <v>37226</v>
      </c>
      <c r="B8" s="8">
        <v>107199.4</v>
      </c>
      <c r="C8" s="8">
        <v>-18059.7</v>
      </c>
      <c r="D8" s="8">
        <v>220580.9</v>
      </c>
      <c r="E8" s="8">
        <v>218561.3</v>
      </c>
      <c r="F8" s="8">
        <v>2019.6</v>
      </c>
      <c r="G8" s="8">
        <v>113916.3</v>
      </c>
      <c r="H8" s="8">
        <v>72130.700000000012</v>
      </c>
      <c r="I8" s="8">
        <v>46222.400000000009</v>
      </c>
      <c r="J8" s="8">
        <v>25908.3</v>
      </c>
      <c r="K8" s="8">
        <v>11190.3</v>
      </c>
      <c r="L8" s="8">
        <v>1041.5999999999999</v>
      </c>
      <c r="M8" s="8">
        <v>4159.7</v>
      </c>
      <c r="N8" s="8">
        <v>41785.599999999999</v>
      </c>
      <c r="O8" s="8">
        <v>5168.3999999999996</v>
      </c>
      <c r="P8" s="8">
        <v>8595.4</v>
      </c>
      <c r="Q8" s="8">
        <v>3803.4</v>
      </c>
      <c r="R8" s="8">
        <v>3160.4</v>
      </c>
      <c r="S8" s="8">
        <v>130.6</v>
      </c>
      <c r="T8" s="8">
        <v>1716.7</v>
      </c>
      <c r="U8" s="8">
        <v>1725.1</v>
      </c>
      <c r="V8" s="8">
        <v>5530.7</v>
      </c>
      <c r="W8" s="9">
        <v>15271.3</v>
      </c>
      <c r="X8" s="9">
        <v>68740.2</v>
      </c>
      <c r="Y8" s="8">
        <f t="shared" si="0"/>
        <v>503372</v>
      </c>
      <c r="Z8" s="8">
        <f t="shared" si="1"/>
        <v>365109.4</v>
      </c>
      <c r="AA8" s="9">
        <v>124000.2</v>
      </c>
      <c r="AB8" s="9">
        <v>12331.8</v>
      </c>
      <c r="AC8" s="9">
        <v>116321.2</v>
      </c>
      <c r="AD8" s="9">
        <v>23980.5</v>
      </c>
      <c r="AE8" s="9">
        <v>88475.7</v>
      </c>
      <c r="AF8">
        <f t="shared" si="2"/>
        <v>138262.6</v>
      </c>
      <c r="AG8" s="9">
        <v>75143.399999999994</v>
      </c>
      <c r="AH8" s="9">
        <v>51931.1</v>
      </c>
      <c r="AI8" s="9">
        <v>11188.1</v>
      </c>
      <c r="AJ8" s="9">
        <v>1011020.3</v>
      </c>
      <c r="AK8" s="9">
        <v>27605.9</v>
      </c>
      <c r="AL8">
        <v>63983.1</v>
      </c>
      <c r="AM8" s="9">
        <v>1102609.3</v>
      </c>
      <c r="AN8" s="8">
        <f t="shared" si="3"/>
        <v>882028.4</v>
      </c>
    </row>
    <row r="9" spans="1:40" x14ac:dyDescent="0.25">
      <c r="A9" s="1">
        <f t="shared" si="4"/>
        <v>37316</v>
      </c>
      <c r="B9" s="8">
        <v>121204.6</v>
      </c>
      <c r="C9" s="8">
        <v>-19162.8</v>
      </c>
      <c r="D9" s="8">
        <v>240744.6</v>
      </c>
      <c r="E9" s="8">
        <v>238679</v>
      </c>
      <c r="F9" s="8">
        <v>2065.5</v>
      </c>
      <c r="G9" s="8">
        <v>97982.9</v>
      </c>
      <c r="H9" s="8">
        <v>65716.799999999988</v>
      </c>
      <c r="I9" s="8">
        <v>46014.799999999988</v>
      </c>
      <c r="J9" s="8">
        <v>19702</v>
      </c>
      <c r="K9" s="8">
        <v>11273.8</v>
      </c>
      <c r="L9" s="8">
        <v>1081.7</v>
      </c>
      <c r="M9" s="8">
        <v>4171</v>
      </c>
      <c r="N9" s="8">
        <v>32266.1</v>
      </c>
      <c r="O9" s="8">
        <v>5332.4</v>
      </c>
      <c r="P9" s="8">
        <v>8889.2000000000007</v>
      </c>
      <c r="Q9" s="8">
        <v>3445.7</v>
      </c>
      <c r="R9" s="8">
        <v>2905.4</v>
      </c>
      <c r="S9" s="8">
        <v>131.80000000000001</v>
      </c>
      <c r="T9" s="8">
        <v>1562.4</v>
      </c>
      <c r="U9" s="8">
        <v>1623</v>
      </c>
      <c r="V9" s="8">
        <v>5598.3</v>
      </c>
      <c r="W9" s="9">
        <v>15303.4</v>
      </c>
      <c r="X9" s="9">
        <v>77823.8</v>
      </c>
      <c r="Y9" s="8">
        <f t="shared" si="0"/>
        <v>536789.80000000005</v>
      </c>
      <c r="Z9" s="8">
        <f t="shared" si="1"/>
        <v>385012.6</v>
      </c>
      <c r="AA9" s="9">
        <v>126184.7</v>
      </c>
      <c r="AB9" s="9">
        <v>11235.4</v>
      </c>
      <c r="AC9" s="9">
        <v>131871</v>
      </c>
      <c r="AD9" s="9">
        <v>25528.9</v>
      </c>
      <c r="AE9" s="9">
        <v>90192.6</v>
      </c>
      <c r="AF9">
        <f t="shared" si="2"/>
        <v>151777.20000000001</v>
      </c>
      <c r="AG9" s="9">
        <v>83919.5</v>
      </c>
      <c r="AH9" s="9">
        <v>56620.2</v>
      </c>
      <c r="AI9" s="9">
        <v>11237.5</v>
      </c>
      <c r="AJ9" s="9">
        <v>1070686.2</v>
      </c>
      <c r="AK9" s="9">
        <v>29517.599999999999</v>
      </c>
      <c r="AL9">
        <v>74018.3</v>
      </c>
      <c r="AM9" s="9">
        <v>1174222.2</v>
      </c>
      <c r="AN9" s="8">
        <f t="shared" si="3"/>
        <v>933477.6</v>
      </c>
    </row>
    <row r="10" spans="1:40" x14ac:dyDescent="0.25">
      <c r="A10" s="1">
        <f t="shared" si="4"/>
        <v>37408</v>
      </c>
      <c r="B10" s="8">
        <v>114366.7</v>
      </c>
      <c r="C10" s="8">
        <v>-19582.099999999999</v>
      </c>
      <c r="D10" s="8">
        <v>262724.3</v>
      </c>
      <c r="E10" s="8">
        <v>260578.5</v>
      </c>
      <c r="F10" s="8">
        <v>2145.8000000000002</v>
      </c>
      <c r="G10" s="8">
        <v>111165.9</v>
      </c>
      <c r="H10" s="8">
        <v>69638.7</v>
      </c>
      <c r="I10" s="8">
        <v>47162</v>
      </c>
      <c r="J10" s="8">
        <v>22476.7</v>
      </c>
      <c r="K10" s="8">
        <v>12774</v>
      </c>
      <c r="L10" s="8">
        <v>1158.9000000000001</v>
      </c>
      <c r="M10" s="8">
        <v>4215.5</v>
      </c>
      <c r="N10" s="8">
        <v>41527.199999999997</v>
      </c>
      <c r="O10" s="8">
        <v>5605.8</v>
      </c>
      <c r="P10" s="8">
        <v>8928.7999999999993</v>
      </c>
      <c r="Q10" s="8">
        <v>3233.7</v>
      </c>
      <c r="R10" s="8">
        <v>2625.4</v>
      </c>
      <c r="S10" s="8">
        <v>154.9</v>
      </c>
      <c r="T10" s="8">
        <v>1636.4</v>
      </c>
      <c r="U10" s="8">
        <v>1655.5</v>
      </c>
      <c r="V10" s="8">
        <v>5173.1000000000004</v>
      </c>
      <c r="W10" s="9">
        <v>15358.8</v>
      </c>
      <c r="X10" s="9">
        <v>83910</v>
      </c>
      <c r="Y10" s="8">
        <f t="shared" si="0"/>
        <v>576186</v>
      </c>
      <c r="Z10" s="8">
        <f t="shared" si="1"/>
        <v>386271.5</v>
      </c>
      <c r="AA10" s="9">
        <v>127293.8</v>
      </c>
      <c r="AB10" s="9">
        <v>11993.4</v>
      </c>
      <c r="AC10" s="9">
        <v>128607.6</v>
      </c>
      <c r="AD10" s="9">
        <v>26249.8</v>
      </c>
      <c r="AE10" s="9">
        <v>92126.9</v>
      </c>
      <c r="AF10">
        <f t="shared" si="2"/>
        <v>189914.5</v>
      </c>
      <c r="AG10" s="9">
        <v>109009.7</v>
      </c>
      <c r="AH10" s="9">
        <v>69568.600000000006</v>
      </c>
      <c r="AI10" s="9">
        <v>11336.2</v>
      </c>
      <c r="AJ10" s="9">
        <v>1144129.3999999999</v>
      </c>
      <c r="AK10" s="9">
        <v>33152.5</v>
      </c>
      <c r="AL10">
        <v>72899.899999999994</v>
      </c>
      <c r="AM10" s="9">
        <v>1250181.8</v>
      </c>
      <c r="AN10" s="8">
        <f t="shared" si="3"/>
        <v>987457.5</v>
      </c>
    </row>
    <row r="11" spans="1:40" x14ac:dyDescent="0.25">
      <c r="A11" s="1">
        <f t="shared" si="4"/>
        <v>37500</v>
      </c>
      <c r="B11" s="8">
        <v>80672.800000000003</v>
      </c>
      <c r="C11" s="8">
        <v>-19876.900000000001</v>
      </c>
      <c r="D11" s="8">
        <v>270866.7</v>
      </c>
      <c r="E11" s="8">
        <v>268807.40000000002</v>
      </c>
      <c r="F11" s="8">
        <v>2059.3000000000002</v>
      </c>
      <c r="G11" s="8">
        <v>117250.9</v>
      </c>
      <c r="H11" s="8">
        <v>71943.399999999994</v>
      </c>
      <c r="I11" s="8">
        <v>48308.599999999991</v>
      </c>
      <c r="J11" s="8">
        <v>23634.799999999999</v>
      </c>
      <c r="K11" s="8">
        <v>12932.4</v>
      </c>
      <c r="L11" s="8">
        <v>1334.7</v>
      </c>
      <c r="M11" s="8">
        <v>4293.8999999999996</v>
      </c>
      <c r="N11" s="8">
        <v>45307.5</v>
      </c>
      <c r="O11" s="8">
        <v>5770.1</v>
      </c>
      <c r="P11" s="8">
        <v>9228.6</v>
      </c>
      <c r="Q11" s="8">
        <v>3270.9</v>
      </c>
      <c r="R11" s="8">
        <v>2850.8</v>
      </c>
      <c r="S11" s="8">
        <v>165.4</v>
      </c>
      <c r="T11" s="8">
        <v>1484.4</v>
      </c>
      <c r="U11" s="8">
        <v>1592.2</v>
      </c>
      <c r="V11" s="8">
        <v>5385.1</v>
      </c>
      <c r="W11" s="9">
        <v>15453.4</v>
      </c>
      <c r="X11" s="9">
        <v>88808.9</v>
      </c>
      <c r="Y11" s="8">
        <f t="shared" si="0"/>
        <v>530298.4</v>
      </c>
      <c r="Z11" s="8">
        <f t="shared" si="1"/>
        <v>386868.80000000005</v>
      </c>
      <c r="AA11" s="9">
        <v>131800.20000000001</v>
      </c>
      <c r="AB11" s="9">
        <v>14193.4</v>
      </c>
      <c r="AC11" s="9">
        <v>119931.1</v>
      </c>
      <c r="AD11" s="9">
        <v>26816</v>
      </c>
      <c r="AE11" s="9">
        <v>94128.1</v>
      </c>
      <c r="AF11">
        <f t="shared" si="2"/>
        <v>143429.59999999998</v>
      </c>
      <c r="AG11" s="9">
        <v>77901.100000000006</v>
      </c>
      <c r="AH11" s="9">
        <v>54093.2</v>
      </c>
      <c r="AI11" s="9">
        <v>11435.3</v>
      </c>
      <c r="AJ11" s="9">
        <v>1083474.2</v>
      </c>
      <c r="AK11" s="9">
        <v>31024.5</v>
      </c>
      <c r="AL11">
        <v>77471.199999999997</v>
      </c>
      <c r="AM11" s="9">
        <v>1191969.8999999999</v>
      </c>
      <c r="AN11" s="8">
        <f t="shared" si="3"/>
        <v>921103.2</v>
      </c>
    </row>
    <row r="12" spans="1:40" x14ac:dyDescent="0.25">
      <c r="A12" s="1">
        <f t="shared" si="4"/>
        <v>37591</v>
      </c>
      <c r="B12" s="8">
        <v>96138.9</v>
      </c>
      <c r="C12" s="8">
        <v>-19392.2</v>
      </c>
      <c r="D12" s="8">
        <v>327321.40000000002</v>
      </c>
      <c r="E12" s="8">
        <v>325036</v>
      </c>
      <c r="F12" s="8">
        <v>2285.4</v>
      </c>
      <c r="G12" s="8">
        <v>127559.3</v>
      </c>
      <c r="H12" s="8">
        <v>72827.200000000012</v>
      </c>
      <c r="I12" s="8">
        <v>48570.600000000013</v>
      </c>
      <c r="J12" s="8">
        <v>24256.6</v>
      </c>
      <c r="K12" s="8">
        <v>12305.8</v>
      </c>
      <c r="L12" s="8">
        <v>1199.5999999999999</v>
      </c>
      <c r="M12" s="8">
        <v>4406.6000000000004</v>
      </c>
      <c r="N12" s="8">
        <v>54732.1</v>
      </c>
      <c r="O12" s="8">
        <v>5936.6</v>
      </c>
      <c r="P12" s="8">
        <v>9018.4</v>
      </c>
      <c r="Q12" s="8">
        <v>3270.7</v>
      </c>
      <c r="R12" s="8">
        <v>2900.4</v>
      </c>
      <c r="S12" s="8">
        <v>169.9</v>
      </c>
      <c r="T12" s="8">
        <v>1866.8</v>
      </c>
      <c r="U12" s="8">
        <v>1876.2</v>
      </c>
      <c r="V12" s="8">
        <v>5619.5</v>
      </c>
      <c r="W12" s="9">
        <v>15814.4</v>
      </c>
      <c r="X12" s="9">
        <v>81164.399999999994</v>
      </c>
      <c r="Y12" s="8">
        <f t="shared" si="0"/>
        <v>547038</v>
      </c>
      <c r="Z12" s="8">
        <f t="shared" si="1"/>
        <v>406715.1</v>
      </c>
      <c r="AA12" s="9">
        <v>135011.29999999999</v>
      </c>
      <c r="AB12" s="9">
        <v>11099.8</v>
      </c>
      <c r="AC12" s="9">
        <v>137647.20000000001</v>
      </c>
      <c r="AD12" s="9">
        <v>26439.4</v>
      </c>
      <c r="AE12" s="9">
        <v>96517.4</v>
      </c>
      <c r="AF12">
        <f t="shared" si="2"/>
        <v>140322.9</v>
      </c>
      <c r="AG12" s="9">
        <v>75543.8</v>
      </c>
      <c r="AH12" s="9">
        <v>53169</v>
      </c>
      <c r="AI12" s="9">
        <v>11610.1</v>
      </c>
      <c r="AJ12" s="9">
        <v>1175644.3</v>
      </c>
      <c r="AK12" s="9">
        <v>34489.4</v>
      </c>
      <c r="AL12">
        <v>75212.5</v>
      </c>
      <c r="AM12" s="9">
        <v>1285346.1000000001</v>
      </c>
      <c r="AN12" s="8">
        <f t="shared" si="3"/>
        <v>958024.70000000007</v>
      </c>
    </row>
    <row r="13" spans="1:40" x14ac:dyDescent="0.25">
      <c r="A13" s="1">
        <f t="shared" si="4"/>
        <v>37681</v>
      </c>
      <c r="B13" s="8">
        <v>119359.5</v>
      </c>
      <c r="C13" s="8">
        <v>-21324.7</v>
      </c>
      <c r="D13" s="8">
        <v>375252.8</v>
      </c>
      <c r="E13" s="8">
        <v>373177.5</v>
      </c>
      <c r="F13" s="8">
        <v>2075.3000000000002</v>
      </c>
      <c r="G13" s="8">
        <v>124251.2</v>
      </c>
      <c r="H13" s="8">
        <v>70317.5</v>
      </c>
      <c r="I13" s="8">
        <v>48836</v>
      </c>
      <c r="J13" s="8">
        <v>21481.5</v>
      </c>
      <c r="K13" s="8">
        <v>12717.1</v>
      </c>
      <c r="L13" s="8">
        <v>1260.9000000000001</v>
      </c>
      <c r="M13" s="8">
        <v>4569.1000000000004</v>
      </c>
      <c r="N13" s="8">
        <v>53933.7</v>
      </c>
      <c r="O13" s="8">
        <v>6120.4</v>
      </c>
      <c r="P13" s="8">
        <v>8627.2000000000007</v>
      </c>
      <c r="Q13" s="8">
        <v>3339.6</v>
      </c>
      <c r="R13" s="8">
        <v>2793.8</v>
      </c>
      <c r="S13" s="8">
        <v>174.3</v>
      </c>
      <c r="T13" s="8">
        <v>1689.1</v>
      </c>
      <c r="U13" s="8">
        <v>1890</v>
      </c>
      <c r="V13" s="8">
        <v>5654.4</v>
      </c>
      <c r="W13" s="9">
        <v>16502.400000000001</v>
      </c>
      <c r="X13" s="9">
        <v>94507</v>
      </c>
      <c r="Y13" s="8">
        <f t="shared" si="0"/>
        <v>587299.1</v>
      </c>
      <c r="Z13" s="8">
        <f t="shared" si="1"/>
        <v>413253.69999999995</v>
      </c>
      <c r="AA13" s="9">
        <v>138483.29999999999</v>
      </c>
      <c r="AB13" s="9">
        <v>15327.5</v>
      </c>
      <c r="AC13" s="9">
        <v>131093</v>
      </c>
      <c r="AD13" s="9">
        <v>28966.6</v>
      </c>
      <c r="AE13" s="9">
        <v>99383.3</v>
      </c>
      <c r="AF13">
        <f t="shared" si="2"/>
        <v>174045.4</v>
      </c>
      <c r="AG13" s="9">
        <v>97464.4</v>
      </c>
      <c r="AH13" s="9">
        <v>64532.9</v>
      </c>
      <c r="AI13" s="9">
        <v>12048.1</v>
      </c>
      <c r="AJ13" s="9">
        <v>1295847.3</v>
      </c>
      <c r="AK13" s="9">
        <v>31623.3</v>
      </c>
      <c r="AL13">
        <v>77134.2</v>
      </c>
      <c r="AM13" s="9">
        <v>1404604.8</v>
      </c>
      <c r="AN13" s="8">
        <f t="shared" si="3"/>
        <v>1029352</v>
      </c>
    </row>
    <row r="14" spans="1:40" x14ac:dyDescent="0.25">
      <c r="A14" s="1">
        <f t="shared" si="4"/>
        <v>37773</v>
      </c>
      <c r="B14" s="8">
        <v>126731</v>
      </c>
      <c r="C14" s="8">
        <v>-21906.2</v>
      </c>
      <c r="D14" s="8">
        <v>349345.9</v>
      </c>
      <c r="E14" s="8">
        <v>347212.9</v>
      </c>
      <c r="F14" s="8">
        <v>2133.1</v>
      </c>
      <c r="G14" s="8">
        <v>118537.7</v>
      </c>
      <c r="H14" s="8">
        <v>73564.799999999988</v>
      </c>
      <c r="I14" s="8">
        <v>51326.599999999991</v>
      </c>
      <c r="J14" s="8">
        <v>22238.2</v>
      </c>
      <c r="K14" s="8">
        <v>13332.1</v>
      </c>
      <c r="L14" s="8">
        <v>1432.1</v>
      </c>
      <c r="M14" s="8">
        <v>4628.3999999999996</v>
      </c>
      <c r="N14" s="8">
        <v>44972.9</v>
      </c>
      <c r="O14" s="8">
        <v>6306.4</v>
      </c>
      <c r="P14" s="8">
        <v>8662.2999999999993</v>
      </c>
      <c r="Q14" s="8">
        <v>3554.2</v>
      </c>
      <c r="R14" s="8">
        <v>3346</v>
      </c>
      <c r="S14" s="8">
        <v>186.7</v>
      </c>
      <c r="T14" s="8">
        <v>1767.7</v>
      </c>
      <c r="U14" s="8">
        <v>2026.6</v>
      </c>
      <c r="V14" s="8">
        <v>6084.3</v>
      </c>
      <c r="W14" s="9">
        <v>16987.2</v>
      </c>
      <c r="X14" s="9">
        <v>92885.9</v>
      </c>
      <c r="Y14" s="8">
        <f t="shared" si="0"/>
        <v>619591.19999999995</v>
      </c>
      <c r="Z14" s="8">
        <f t="shared" si="1"/>
        <v>431530.9</v>
      </c>
      <c r="AA14" s="9">
        <v>142653.6</v>
      </c>
      <c r="AB14" s="9">
        <v>21117.4</v>
      </c>
      <c r="AC14" s="9">
        <v>135770.4</v>
      </c>
      <c r="AD14" s="9">
        <v>29789.599999999999</v>
      </c>
      <c r="AE14" s="9">
        <v>102199.9</v>
      </c>
      <c r="AF14">
        <f t="shared" si="2"/>
        <v>188060.3</v>
      </c>
      <c r="AG14" s="9">
        <v>106378.4</v>
      </c>
      <c r="AH14" s="9">
        <v>69382.600000000006</v>
      </c>
      <c r="AI14" s="9">
        <v>12299.3</v>
      </c>
      <c r="AJ14" s="9">
        <v>1302172.8</v>
      </c>
      <c r="AK14" s="9">
        <v>37741.800000000003</v>
      </c>
      <c r="AL14">
        <v>76534.8</v>
      </c>
      <c r="AM14" s="9">
        <v>1416449.3</v>
      </c>
      <c r="AN14" s="8">
        <f t="shared" si="3"/>
        <v>1067103.3999999999</v>
      </c>
    </row>
    <row r="15" spans="1:40" x14ac:dyDescent="0.25">
      <c r="A15" s="1">
        <f t="shared" si="4"/>
        <v>37865</v>
      </c>
      <c r="B15" s="8">
        <v>109296</v>
      </c>
      <c r="C15" s="8">
        <v>-21937.3</v>
      </c>
      <c r="D15" s="8">
        <v>336993</v>
      </c>
      <c r="E15" s="8">
        <v>334689.40000000002</v>
      </c>
      <c r="F15" s="8">
        <v>2303.6</v>
      </c>
      <c r="G15" s="8">
        <v>123315.6</v>
      </c>
      <c r="H15" s="8">
        <v>76012.5</v>
      </c>
      <c r="I15" s="8">
        <v>50915.5</v>
      </c>
      <c r="J15" s="8">
        <v>25097</v>
      </c>
      <c r="K15" s="8">
        <v>13835.4</v>
      </c>
      <c r="L15" s="8">
        <v>1304.8</v>
      </c>
      <c r="M15" s="8">
        <v>4656</v>
      </c>
      <c r="N15" s="8">
        <v>47303.1</v>
      </c>
      <c r="O15" s="8">
        <v>6388.1</v>
      </c>
      <c r="P15" s="8">
        <v>8784.1</v>
      </c>
      <c r="Q15" s="8">
        <v>3464.9</v>
      </c>
      <c r="R15" s="8">
        <v>2990.3</v>
      </c>
      <c r="S15" s="8">
        <v>192.7</v>
      </c>
      <c r="T15" s="8">
        <v>1661.6</v>
      </c>
      <c r="U15" s="8">
        <v>1983.7</v>
      </c>
      <c r="V15" s="8">
        <v>5653.9</v>
      </c>
      <c r="W15" s="9">
        <v>17339.7</v>
      </c>
      <c r="X15" s="9">
        <v>96752.1</v>
      </c>
      <c r="Y15" s="8">
        <f t="shared" si="0"/>
        <v>597786.80000000005</v>
      </c>
      <c r="Z15" s="8">
        <f t="shared" si="1"/>
        <v>423171.9</v>
      </c>
      <c r="AA15" s="9">
        <v>142987.79999999999</v>
      </c>
      <c r="AB15" s="9">
        <v>9710.6</v>
      </c>
      <c r="AC15" s="9">
        <v>135706.4</v>
      </c>
      <c r="AD15" s="9">
        <v>29871.7</v>
      </c>
      <c r="AE15" s="9">
        <v>104895.4</v>
      </c>
      <c r="AF15">
        <f t="shared" si="2"/>
        <v>174614.90000000002</v>
      </c>
      <c r="AG15" s="9">
        <v>96943.3</v>
      </c>
      <c r="AH15" s="9">
        <v>65015.4</v>
      </c>
      <c r="AI15" s="9">
        <v>12656.2</v>
      </c>
      <c r="AJ15" s="9">
        <v>1259545.8</v>
      </c>
      <c r="AK15" s="9">
        <v>32968.800000000003</v>
      </c>
      <c r="AL15">
        <v>81743.5</v>
      </c>
      <c r="AM15" s="9">
        <v>1374258</v>
      </c>
      <c r="AN15" s="8">
        <f t="shared" si="3"/>
        <v>1037265</v>
      </c>
    </row>
    <row r="16" spans="1:40" x14ac:dyDescent="0.25">
      <c r="A16" s="1">
        <f t="shared" si="4"/>
        <v>37956</v>
      </c>
      <c r="B16" s="8">
        <v>125560.6</v>
      </c>
      <c r="C16" s="8">
        <v>-20947.8</v>
      </c>
      <c r="D16" s="8">
        <v>384740.2</v>
      </c>
      <c r="E16" s="8">
        <v>382397.2</v>
      </c>
      <c r="F16" s="8">
        <v>2343</v>
      </c>
      <c r="G16" s="8">
        <v>125270.5</v>
      </c>
      <c r="H16" s="8">
        <v>78981.100000000006</v>
      </c>
      <c r="I16" s="8">
        <v>54151.700000000004</v>
      </c>
      <c r="J16" s="8">
        <v>24829.4</v>
      </c>
      <c r="K16" s="8">
        <v>14739.4</v>
      </c>
      <c r="L16" s="8">
        <v>1414.2</v>
      </c>
      <c r="M16" s="8">
        <v>4611.5</v>
      </c>
      <c r="N16" s="8">
        <v>46289.4</v>
      </c>
      <c r="O16" s="8">
        <v>6512.1</v>
      </c>
      <c r="P16" s="8">
        <v>9067.2999999999993</v>
      </c>
      <c r="Q16" s="8">
        <v>3687.3</v>
      </c>
      <c r="R16" s="8">
        <v>3438.9</v>
      </c>
      <c r="S16" s="8">
        <v>202.3</v>
      </c>
      <c r="T16" s="8">
        <v>1999.7</v>
      </c>
      <c r="U16" s="8">
        <v>2157.6999999999998</v>
      </c>
      <c r="V16" s="8">
        <v>6321.4</v>
      </c>
      <c r="W16" s="9">
        <v>17546.7</v>
      </c>
      <c r="X16" s="9">
        <v>100659</v>
      </c>
      <c r="Y16" s="8">
        <f t="shared" si="0"/>
        <v>640803</v>
      </c>
      <c r="Z16" s="8">
        <f t="shared" si="1"/>
        <v>472308.5</v>
      </c>
      <c r="AA16" s="9">
        <v>148578.20000000001</v>
      </c>
      <c r="AB16" s="9">
        <v>7174.5</v>
      </c>
      <c r="AC16" s="9">
        <v>180863.3</v>
      </c>
      <c r="AD16" s="9">
        <v>28647.1</v>
      </c>
      <c r="AE16" s="9">
        <v>107045.4</v>
      </c>
      <c r="AF16">
        <f t="shared" si="2"/>
        <v>168494.5</v>
      </c>
      <c r="AG16" s="9">
        <v>92347.9</v>
      </c>
      <c r="AH16" s="9">
        <v>63162.1</v>
      </c>
      <c r="AI16" s="9">
        <v>12984.5</v>
      </c>
      <c r="AJ16" s="9">
        <v>1373632.1</v>
      </c>
      <c r="AK16" s="9">
        <v>39288.1</v>
      </c>
      <c r="AL16">
        <v>78925.600000000006</v>
      </c>
      <c r="AM16" s="9">
        <v>1491845.9</v>
      </c>
      <c r="AN16" s="8">
        <f t="shared" si="3"/>
        <v>1107105.7</v>
      </c>
    </row>
    <row r="17" spans="1:40" x14ac:dyDescent="0.25">
      <c r="A17" s="1">
        <f t="shared" si="4"/>
        <v>38047</v>
      </c>
      <c r="B17" s="8">
        <v>151819.9</v>
      </c>
      <c r="C17" s="8">
        <v>-22633</v>
      </c>
      <c r="D17" s="8">
        <v>439225.7</v>
      </c>
      <c r="E17" s="8">
        <v>436921</v>
      </c>
      <c r="F17" s="8">
        <v>2304.8000000000002</v>
      </c>
      <c r="G17" s="8">
        <v>116470</v>
      </c>
      <c r="H17" s="8">
        <v>76040.2</v>
      </c>
      <c r="I17" s="8">
        <v>51258.399999999994</v>
      </c>
      <c r="J17" s="8">
        <v>24781.8</v>
      </c>
      <c r="K17" s="8">
        <v>13211.5</v>
      </c>
      <c r="L17" s="8">
        <v>1274.9000000000001</v>
      </c>
      <c r="M17" s="8">
        <v>4504.3999999999996</v>
      </c>
      <c r="N17" s="8">
        <v>40429.800000000003</v>
      </c>
      <c r="O17" s="8">
        <v>6708.2</v>
      </c>
      <c r="P17" s="8">
        <v>9287.7999999999993</v>
      </c>
      <c r="Q17" s="8">
        <v>3658.4</v>
      </c>
      <c r="R17" s="8">
        <v>2957.9</v>
      </c>
      <c r="S17" s="8">
        <v>196.3</v>
      </c>
      <c r="T17" s="8">
        <v>1671.9</v>
      </c>
      <c r="U17" s="8">
        <v>1919.5</v>
      </c>
      <c r="V17" s="8">
        <v>5867.6</v>
      </c>
      <c r="W17" s="9">
        <v>18014.2</v>
      </c>
      <c r="X17" s="9">
        <v>98440.7</v>
      </c>
      <c r="Y17" s="8">
        <f t="shared" si="0"/>
        <v>661983.19999999995</v>
      </c>
      <c r="Z17" s="8">
        <f t="shared" si="1"/>
        <v>484864.4</v>
      </c>
      <c r="AA17" s="9">
        <v>149201.1</v>
      </c>
      <c r="AB17" s="9">
        <v>9341.6</v>
      </c>
      <c r="AC17" s="9">
        <v>185691.5</v>
      </c>
      <c r="AD17" s="9">
        <v>30562.2</v>
      </c>
      <c r="AE17" s="9">
        <v>110068</v>
      </c>
      <c r="AF17">
        <f t="shared" si="2"/>
        <v>177118.8</v>
      </c>
      <c r="AG17" s="9">
        <v>97437.2</v>
      </c>
      <c r="AH17" s="9">
        <v>66273.8</v>
      </c>
      <c r="AI17" s="9">
        <v>13407.8</v>
      </c>
      <c r="AJ17" s="9">
        <v>1463320.8</v>
      </c>
      <c r="AK17" s="9">
        <v>32647.4</v>
      </c>
      <c r="AL17">
        <v>86348.2</v>
      </c>
      <c r="AM17" s="9">
        <v>1582316.4</v>
      </c>
      <c r="AN17" s="8">
        <f t="shared" si="3"/>
        <v>1143090.7</v>
      </c>
    </row>
    <row r="18" spans="1:40" x14ac:dyDescent="0.25">
      <c r="A18" s="1">
        <f t="shared" si="4"/>
        <v>38139</v>
      </c>
      <c r="B18" s="8">
        <v>149723.70000000001</v>
      </c>
      <c r="C18" s="8">
        <v>-22869.599999999999</v>
      </c>
      <c r="D18" s="8">
        <v>445553.7</v>
      </c>
      <c r="E18" s="8">
        <v>443191</v>
      </c>
      <c r="F18" s="8">
        <v>2362.6999999999998</v>
      </c>
      <c r="G18" s="8">
        <v>131104.5</v>
      </c>
      <c r="H18" s="8">
        <v>80967</v>
      </c>
      <c r="I18" s="8">
        <v>54733.599999999999</v>
      </c>
      <c r="J18" s="8">
        <v>26233.4</v>
      </c>
      <c r="K18" s="8">
        <v>13619.2</v>
      </c>
      <c r="L18" s="8">
        <v>1356.6</v>
      </c>
      <c r="M18" s="8">
        <v>4546.8999999999996</v>
      </c>
      <c r="N18" s="8">
        <v>50137.5</v>
      </c>
      <c r="O18" s="8">
        <v>6845.1</v>
      </c>
      <c r="P18" s="8">
        <v>9788.7999999999993</v>
      </c>
      <c r="Q18" s="8">
        <v>4134.8999999999996</v>
      </c>
      <c r="R18" s="8">
        <v>3674.5</v>
      </c>
      <c r="S18" s="8">
        <v>199.3</v>
      </c>
      <c r="T18" s="8">
        <v>1973.9</v>
      </c>
      <c r="U18" s="8">
        <v>2035.6</v>
      </c>
      <c r="V18" s="8">
        <v>6558.7</v>
      </c>
      <c r="W18" s="9">
        <v>18740.2</v>
      </c>
      <c r="X18" s="9">
        <v>114216.8</v>
      </c>
      <c r="Y18" s="8">
        <f t="shared" si="0"/>
        <v>704644.9</v>
      </c>
      <c r="Z18" s="8">
        <f t="shared" si="1"/>
        <v>518438.30000000005</v>
      </c>
      <c r="AA18" s="9">
        <v>154416.4</v>
      </c>
      <c r="AB18" s="9">
        <v>32398.2</v>
      </c>
      <c r="AC18" s="9">
        <v>189723.7</v>
      </c>
      <c r="AD18" s="9">
        <v>30751.5</v>
      </c>
      <c r="AE18" s="9">
        <v>111148.5</v>
      </c>
      <c r="AF18">
        <f t="shared" si="2"/>
        <v>186206.59999999998</v>
      </c>
      <c r="AG18" s="9">
        <v>102977.9</v>
      </c>
      <c r="AH18" s="9">
        <v>69483.399999999994</v>
      </c>
      <c r="AI18" s="9">
        <v>13745.3</v>
      </c>
      <c r="AJ18" s="9">
        <v>1541114.5</v>
      </c>
      <c r="AK18" s="9">
        <v>32477.5</v>
      </c>
      <c r="AL18">
        <v>84877.5</v>
      </c>
      <c r="AM18" s="9">
        <v>1658469.5</v>
      </c>
      <c r="AN18" s="8">
        <f t="shared" si="3"/>
        <v>1212915.8</v>
      </c>
    </row>
    <row r="19" spans="1:40" x14ac:dyDescent="0.25">
      <c r="A19" s="1">
        <f t="shared" si="4"/>
        <v>38231</v>
      </c>
      <c r="B19" s="8">
        <v>106373.4</v>
      </c>
      <c r="C19" s="8">
        <v>-23610.400000000001</v>
      </c>
      <c r="D19" s="8">
        <v>503272.9</v>
      </c>
      <c r="E19" s="8">
        <v>500834.9</v>
      </c>
      <c r="F19" s="8">
        <v>2438</v>
      </c>
      <c r="G19" s="8">
        <v>130085.7</v>
      </c>
      <c r="H19" s="8">
        <v>78767.899999999994</v>
      </c>
      <c r="I19" s="8">
        <v>53534.2</v>
      </c>
      <c r="J19" s="8">
        <v>25233.7</v>
      </c>
      <c r="K19" s="8">
        <v>13425</v>
      </c>
      <c r="L19" s="8">
        <v>1441.6</v>
      </c>
      <c r="M19" s="8">
        <v>4682.2</v>
      </c>
      <c r="N19" s="8">
        <v>51317.8</v>
      </c>
      <c r="O19" s="8">
        <v>7138.3</v>
      </c>
      <c r="P19" s="8">
        <v>9949.9</v>
      </c>
      <c r="Q19" s="8">
        <v>3845.9</v>
      </c>
      <c r="R19" s="8">
        <v>3365.7</v>
      </c>
      <c r="S19" s="8">
        <v>197.4</v>
      </c>
      <c r="T19" s="8">
        <v>1698.4</v>
      </c>
      <c r="U19" s="8">
        <v>1934.1</v>
      </c>
      <c r="V19" s="8">
        <v>5855.6</v>
      </c>
      <c r="W19" s="9">
        <v>19581.8</v>
      </c>
      <c r="X19" s="9">
        <v>136044.4</v>
      </c>
      <c r="Y19" s="8">
        <f t="shared" si="0"/>
        <v>694976.2</v>
      </c>
      <c r="Z19" s="8">
        <f t="shared" si="1"/>
        <v>493508.6</v>
      </c>
      <c r="AA19" s="9">
        <v>157914.4</v>
      </c>
      <c r="AB19" s="9">
        <v>6704.2</v>
      </c>
      <c r="AC19" s="9">
        <v>184266</v>
      </c>
      <c r="AD19" s="9">
        <v>31564.9</v>
      </c>
      <c r="AE19" s="9">
        <v>113059.1</v>
      </c>
      <c r="AF19">
        <f t="shared" si="2"/>
        <v>201467.60000000003</v>
      </c>
      <c r="AG19" s="9">
        <v>112808.3</v>
      </c>
      <c r="AH19" s="9">
        <v>74732.600000000006</v>
      </c>
      <c r="AI19" s="9">
        <v>13926.7</v>
      </c>
      <c r="AJ19" s="9">
        <v>1566724.1</v>
      </c>
      <c r="AK19" s="9">
        <v>36656.5</v>
      </c>
      <c r="AL19">
        <v>90657.8</v>
      </c>
      <c r="AM19" s="9">
        <v>1694038.3</v>
      </c>
      <c r="AN19" s="8">
        <f t="shared" si="3"/>
        <v>1190765.3999999999</v>
      </c>
    </row>
    <row r="20" spans="1:40" x14ac:dyDescent="0.25">
      <c r="A20" s="1">
        <f t="shared" si="4"/>
        <v>38322</v>
      </c>
      <c r="B20" s="8">
        <v>103550</v>
      </c>
      <c r="C20" s="8">
        <v>-21990.1</v>
      </c>
      <c r="D20" s="8">
        <v>541310.6</v>
      </c>
      <c r="E20" s="8">
        <v>538709</v>
      </c>
      <c r="F20" s="8">
        <v>2601.6</v>
      </c>
      <c r="G20" s="8">
        <v>143013.70000000001</v>
      </c>
      <c r="H20" s="8">
        <v>82238.800000000017</v>
      </c>
      <c r="I20" s="8">
        <v>56373.800000000017</v>
      </c>
      <c r="J20" s="8">
        <v>25865</v>
      </c>
      <c r="K20" s="8">
        <v>14586.3</v>
      </c>
      <c r="L20" s="8">
        <v>1459.9</v>
      </c>
      <c r="M20" s="8">
        <v>4960.3999999999996</v>
      </c>
      <c r="N20" s="8">
        <v>60774.9</v>
      </c>
      <c r="O20" s="8">
        <v>7505.4</v>
      </c>
      <c r="P20" s="8">
        <v>10133.5</v>
      </c>
      <c r="Q20" s="8">
        <v>3694.8</v>
      </c>
      <c r="R20" s="8">
        <v>3442.8</v>
      </c>
      <c r="S20" s="8">
        <v>199</v>
      </c>
      <c r="T20" s="8">
        <v>2061.6999999999998</v>
      </c>
      <c r="U20" s="8">
        <v>2175.6999999999998</v>
      </c>
      <c r="V20" s="8">
        <v>6154.1</v>
      </c>
      <c r="W20" s="9">
        <v>20369.7</v>
      </c>
      <c r="X20" s="9">
        <v>103837.1</v>
      </c>
      <c r="Y20" s="8">
        <f t="shared" si="0"/>
        <v>675065.4</v>
      </c>
      <c r="Z20" s="8">
        <f t="shared" si="1"/>
        <v>472009.5</v>
      </c>
      <c r="AA20" s="9">
        <v>160128</v>
      </c>
      <c r="AB20" s="9">
        <v>3209.9</v>
      </c>
      <c r="AC20" s="9">
        <v>165316.79999999999</v>
      </c>
      <c r="AD20" s="9">
        <v>29554.400000000001</v>
      </c>
      <c r="AE20" s="9">
        <v>113800.4</v>
      </c>
      <c r="AF20">
        <f t="shared" si="2"/>
        <v>203055.90000000002</v>
      </c>
      <c r="AG20" s="9">
        <v>114053.5</v>
      </c>
      <c r="AH20" s="9">
        <v>75508.2</v>
      </c>
      <c r="AI20" s="9">
        <v>13494.2</v>
      </c>
      <c r="AJ20" s="9">
        <v>1565156.6</v>
      </c>
      <c r="AK20" s="9">
        <v>37498.6</v>
      </c>
      <c r="AL20">
        <v>85875.5</v>
      </c>
      <c r="AM20" s="9">
        <v>1688530.7</v>
      </c>
      <c r="AN20" s="8">
        <f t="shared" si="3"/>
        <v>1147220.1000000001</v>
      </c>
    </row>
    <row r="21" spans="1:40" x14ac:dyDescent="0.25">
      <c r="A21" s="1">
        <f t="shared" si="4"/>
        <v>38412</v>
      </c>
      <c r="B21" s="8">
        <v>132533.79999999999</v>
      </c>
      <c r="C21" s="8">
        <v>-24030</v>
      </c>
      <c r="D21" s="8">
        <v>574011.80000000005</v>
      </c>
      <c r="E21" s="8">
        <v>571443.6</v>
      </c>
      <c r="F21" s="8">
        <v>2568.3000000000002</v>
      </c>
      <c r="G21" s="8">
        <v>131507.9</v>
      </c>
      <c r="H21" s="8">
        <v>85850.099999999991</v>
      </c>
      <c r="I21" s="8">
        <v>57502.899999999994</v>
      </c>
      <c r="J21" s="8">
        <v>28347.200000000001</v>
      </c>
      <c r="K21" s="8">
        <v>14498.5</v>
      </c>
      <c r="L21" s="8">
        <v>1516</v>
      </c>
      <c r="M21" s="8">
        <v>5365.4</v>
      </c>
      <c r="N21" s="8">
        <v>45657.8</v>
      </c>
      <c r="O21" s="8">
        <v>7969.8</v>
      </c>
      <c r="P21" s="8">
        <v>10465</v>
      </c>
      <c r="Q21" s="8">
        <v>4040</v>
      </c>
      <c r="R21" s="8">
        <v>3441.4</v>
      </c>
      <c r="S21" s="8">
        <v>251.9</v>
      </c>
      <c r="T21" s="8">
        <v>1888.5</v>
      </c>
      <c r="U21" s="8">
        <v>2144.9</v>
      </c>
      <c r="V21" s="8">
        <v>5921.4</v>
      </c>
      <c r="W21" s="9">
        <v>21487.3</v>
      </c>
      <c r="X21" s="9">
        <v>129270.7</v>
      </c>
      <c r="Y21" s="8">
        <f t="shared" si="0"/>
        <v>782708</v>
      </c>
      <c r="Z21" s="8">
        <f t="shared" si="1"/>
        <v>583955.70000000007</v>
      </c>
      <c r="AA21" s="9">
        <v>169388.3</v>
      </c>
      <c r="AB21" s="9">
        <v>15818.7</v>
      </c>
      <c r="AC21" s="9">
        <v>246442.9</v>
      </c>
      <c r="AD21" s="9">
        <v>31965.4</v>
      </c>
      <c r="AE21" s="9">
        <v>120340.4</v>
      </c>
      <c r="AF21">
        <f t="shared" si="2"/>
        <v>198752.3</v>
      </c>
      <c r="AG21" s="9">
        <v>110810.9</v>
      </c>
      <c r="AH21" s="9">
        <v>73883</v>
      </c>
      <c r="AI21" s="9">
        <v>14058.4</v>
      </c>
      <c r="AJ21" s="9">
        <v>1747489.6</v>
      </c>
      <c r="AK21" s="9">
        <v>34964.1</v>
      </c>
      <c r="AL21">
        <v>87221.6</v>
      </c>
      <c r="AM21" s="9">
        <v>1869675.2</v>
      </c>
      <c r="AN21" s="8">
        <f t="shared" si="3"/>
        <v>1295663.3999999999</v>
      </c>
    </row>
    <row r="22" spans="1:40" x14ac:dyDescent="0.25">
      <c r="A22" s="1">
        <f t="shared" si="4"/>
        <v>38504</v>
      </c>
      <c r="B22" s="8">
        <v>135620.1</v>
      </c>
      <c r="C22" s="8">
        <v>-26665.8</v>
      </c>
      <c r="D22" s="8">
        <v>632052.1</v>
      </c>
      <c r="E22" s="8">
        <v>629427.5</v>
      </c>
      <c r="F22" s="8">
        <v>2624.6</v>
      </c>
      <c r="G22" s="8">
        <v>152680.1</v>
      </c>
      <c r="H22" s="8">
        <v>89334.1</v>
      </c>
      <c r="I22" s="8">
        <v>60262.500000000007</v>
      </c>
      <c r="J22" s="8">
        <v>29071.599999999999</v>
      </c>
      <c r="K22" s="8">
        <v>14628.8</v>
      </c>
      <c r="L22" s="8">
        <v>1556.3</v>
      </c>
      <c r="M22" s="8">
        <v>5677.3</v>
      </c>
      <c r="N22" s="8">
        <v>63346</v>
      </c>
      <c r="O22" s="8">
        <v>8383.7999999999993</v>
      </c>
      <c r="P22" s="8">
        <v>10711</v>
      </c>
      <c r="Q22" s="8">
        <v>4125.3</v>
      </c>
      <c r="R22" s="8">
        <v>3887.7</v>
      </c>
      <c r="S22" s="8">
        <v>212.1</v>
      </c>
      <c r="T22" s="8">
        <v>2126.1999999999998</v>
      </c>
      <c r="U22" s="8">
        <v>2335.5</v>
      </c>
      <c r="V22" s="8">
        <v>6618.5</v>
      </c>
      <c r="W22" s="9">
        <v>21652.400000000001</v>
      </c>
      <c r="X22" s="9">
        <v>107871.8</v>
      </c>
      <c r="Y22" s="8">
        <f t="shared" si="0"/>
        <v>785890.89999999991</v>
      </c>
      <c r="Z22" s="8">
        <f t="shared" si="1"/>
        <v>590209.79999999993</v>
      </c>
      <c r="AA22" s="9">
        <v>167623.5</v>
      </c>
      <c r="AB22" s="9">
        <v>15497.6</v>
      </c>
      <c r="AC22" s="9">
        <v>247754.5</v>
      </c>
      <c r="AD22" s="9">
        <v>35181</v>
      </c>
      <c r="AE22" s="9">
        <v>124153.2</v>
      </c>
      <c r="AF22">
        <f t="shared" si="2"/>
        <v>195681.1</v>
      </c>
      <c r="AG22" s="9">
        <v>108756</v>
      </c>
      <c r="AH22" s="9">
        <v>72891.7</v>
      </c>
      <c r="AI22" s="9">
        <v>14033.4</v>
      </c>
      <c r="AJ22" s="9">
        <v>1809101.6</v>
      </c>
      <c r="AK22" s="9">
        <v>37743.1</v>
      </c>
      <c r="AL22">
        <v>85304.2</v>
      </c>
      <c r="AM22" s="9">
        <v>1932148.9</v>
      </c>
      <c r="AN22" s="8">
        <f t="shared" si="3"/>
        <v>1300096.7999999998</v>
      </c>
    </row>
    <row r="23" spans="1:40" x14ac:dyDescent="0.25">
      <c r="A23" s="1">
        <f t="shared" si="4"/>
        <v>38596</v>
      </c>
      <c r="B23" s="8">
        <v>113336</v>
      </c>
      <c r="C23" s="8">
        <v>-28581</v>
      </c>
      <c r="D23" s="8">
        <v>650702.80000000005</v>
      </c>
      <c r="E23" s="8">
        <v>648124.30000000005</v>
      </c>
      <c r="F23" s="8">
        <v>2578.5</v>
      </c>
      <c r="G23" s="8">
        <v>165726.20000000001</v>
      </c>
      <c r="H23" s="8">
        <v>90352.200000000012</v>
      </c>
      <c r="I23" s="8">
        <v>60551.900000000009</v>
      </c>
      <c r="J23" s="8">
        <v>29800.3</v>
      </c>
      <c r="K23" s="8">
        <v>14987.7</v>
      </c>
      <c r="L23" s="8">
        <v>1569.2</v>
      </c>
      <c r="M23" s="8">
        <v>5874.5</v>
      </c>
      <c r="N23" s="8">
        <v>75374</v>
      </c>
      <c r="O23" s="8">
        <v>8847</v>
      </c>
      <c r="P23" s="8">
        <v>11050.3</v>
      </c>
      <c r="Q23" s="8">
        <v>3731</v>
      </c>
      <c r="R23" s="8">
        <v>3789.3</v>
      </c>
      <c r="S23" s="8">
        <v>213.8</v>
      </c>
      <c r="T23" s="8">
        <v>1948.6</v>
      </c>
      <c r="U23" s="8">
        <v>2257.9</v>
      </c>
      <c r="V23" s="8">
        <v>6282.4</v>
      </c>
      <c r="W23" s="9">
        <v>22506</v>
      </c>
      <c r="X23" s="9">
        <v>119152.4</v>
      </c>
      <c r="Y23" s="8">
        <f t="shared" si="0"/>
        <v>786842.9</v>
      </c>
      <c r="Z23" s="8">
        <f t="shared" si="1"/>
        <v>582758.6</v>
      </c>
      <c r="AA23" s="9">
        <v>167910.7</v>
      </c>
      <c r="AB23" s="9">
        <v>13893.2</v>
      </c>
      <c r="AC23" s="9">
        <v>236622</v>
      </c>
      <c r="AD23" s="9">
        <v>37617</v>
      </c>
      <c r="AE23" s="9">
        <v>126715.7</v>
      </c>
      <c r="AF23">
        <f t="shared" si="2"/>
        <v>204084.30000000002</v>
      </c>
      <c r="AG23" s="9">
        <v>114150.1</v>
      </c>
      <c r="AH23" s="9">
        <v>75701.8</v>
      </c>
      <c r="AI23" s="9">
        <v>14232.4</v>
      </c>
      <c r="AJ23" s="9">
        <v>1829685.5</v>
      </c>
      <c r="AK23" s="9">
        <v>37347.300000000003</v>
      </c>
      <c r="AL23">
        <v>89877</v>
      </c>
      <c r="AM23" s="9">
        <v>1956909.8</v>
      </c>
      <c r="AN23" s="8">
        <f t="shared" si="3"/>
        <v>1306207</v>
      </c>
    </row>
    <row r="24" spans="1:40" x14ac:dyDescent="0.25">
      <c r="A24" s="1">
        <f t="shared" si="4"/>
        <v>38687</v>
      </c>
      <c r="B24" s="8">
        <v>133018.1</v>
      </c>
      <c r="C24" s="8">
        <v>-28735.200000000001</v>
      </c>
      <c r="D24" s="8">
        <v>735053.2</v>
      </c>
      <c r="E24" s="8">
        <v>732623.6</v>
      </c>
      <c r="F24" s="8">
        <v>2429.6</v>
      </c>
      <c r="G24" s="8">
        <v>182429.7</v>
      </c>
      <c r="H24" s="8">
        <v>93879.500000000015</v>
      </c>
      <c r="I24" s="8">
        <v>63417.600000000013</v>
      </c>
      <c r="J24" s="8">
        <v>30461.9</v>
      </c>
      <c r="K24" s="8">
        <v>15467</v>
      </c>
      <c r="L24" s="8">
        <v>1567.5</v>
      </c>
      <c r="M24" s="8">
        <v>5958.8</v>
      </c>
      <c r="N24" s="8">
        <v>88550.2</v>
      </c>
      <c r="O24" s="8">
        <v>9240.2999999999993</v>
      </c>
      <c r="P24" s="8">
        <v>11400.8</v>
      </c>
      <c r="Q24" s="8">
        <v>3872.6</v>
      </c>
      <c r="R24" s="8">
        <v>4226.5</v>
      </c>
      <c r="S24" s="8">
        <v>200.2</v>
      </c>
      <c r="T24" s="8">
        <v>2203.6999999999998</v>
      </c>
      <c r="U24" s="8">
        <v>2367.6999999999998</v>
      </c>
      <c r="V24" s="8">
        <v>6912.6</v>
      </c>
      <c r="W24" s="9">
        <v>22702.3</v>
      </c>
      <c r="X24" s="9">
        <v>136060.1</v>
      </c>
      <c r="Y24" s="8">
        <f t="shared" si="0"/>
        <v>744766.09999999986</v>
      </c>
      <c r="Z24" s="8">
        <f t="shared" si="1"/>
        <v>545751.79999999993</v>
      </c>
      <c r="AA24" s="9">
        <v>164997.6</v>
      </c>
      <c r="AB24" s="9">
        <v>14165.4</v>
      </c>
      <c r="AC24" s="9">
        <v>199618.6</v>
      </c>
      <c r="AD24" s="9">
        <v>38021.599999999999</v>
      </c>
      <c r="AE24" s="9">
        <v>128948.6</v>
      </c>
      <c r="AF24">
        <f t="shared" si="2"/>
        <v>199014.3</v>
      </c>
      <c r="AG24" s="9">
        <v>110561</v>
      </c>
      <c r="AH24" s="9">
        <v>74000.5</v>
      </c>
      <c r="AI24" s="9">
        <v>14452.8</v>
      </c>
      <c r="AJ24" s="9">
        <v>1925294.3</v>
      </c>
      <c r="AK24" s="9">
        <v>33591.5</v>
      </c>
      <c r="AL24">
        <v>126361.2</v>
      </c>
      <c r="AM24" s="9">
        <v>2085247</v>
      </c>
      <c r="AN24" s="8">
        <f t="shared" si="3"/>
        <v>1350193.8</v>
      </c>
    </row>
    <row r="25" spans="1:40" x14ac:dyDescent="0.25">
      <c r="A25" s="1">
        <f t="shared" si="4"/>
        <v>38777</v>
      </c>
      <c r="B25" s="8">
        <v>155202.5</v>
      </c>
      <c r="C25" s="8">
        <v>-33860</v>
      </c>
      <c r="D25" s="8">
        <v>747810.8</v>
      </c>
      <c r="E25" s="8">
        <v>745432.8</v>
      </c>
      <c r="F25" s="8">
        <v>2378</v>
      </c>
      <c r="G25" s="8">
        <v>171950.8</v>
      </c>
      <c r="H25" s="8">
        <v>93352.699999999983</v>
      </c>
      <c r="I25" s="8">
        <v>61742.199999999983</v>
      </c>
      <c r="J25" s="8">
        <v>31610.5</v>
      </c>
      <c r="K25" s="8">
        <v>15252.9</v>
      </c>
      <c r="L25" s="8">
        <v>1528.3</v>
      </c>
      <c r="M25" s="8">
        <v>5943.2</v>
      </c>
      <c r="N25" s="8">
        <v>78598.100000000006</v>
      </c>
      <c r="O25" s="8">
        <v>9568.6</v>
      </c>
      <c r="P25" s="8">
        <v>11428.1</v>
      </c>
      <c r="Q25" s="8">
        <v>3866.1</v>
      </c>
      <c r="R25" s="8">
        <v>3607.7</v>
      </c>
      <c r="S25" s="8">
        <v>235.9</v>
      </c>
      <c r="T25" s="8">
        <v>2018.9</v>
      </c>
      <c r="U25" s="8">
        <v>2291.4</v>
      </c>
      <c r="V25" s="8">
        <v>6001.1</v>
      </c>
      <c r="W25" s="9">
        <v>24383.599999999999</v>
      </c>
      <c r="X25" s="9">
        <v>137526.70000000001</v>
      </c>
      <c r="Y25" s="8">
        <f t="shared" si="0"/>
        <v>825259</v>
      </c>
      <c r="Z25" s="8">
        <f t="shared" si="1"/>
        <v>632275.1</v>
      </c>
      <c r="AA25" s="9">
        <v>175385.3</v>
      </c>
      <c r="AB25" s="9">
        <v>15130</v>
      </c>
      <c r="AC25" s="9">
        <v>264761.59999999998</v>
      </c>
      <c r="AD25" s="9">
        <v>44494.7</v>
      </c>
      <c r="AE25" s="9">
        <v>132503.5</v>
      </c>
      <c r="AF25">
        <f t="shared" si="2"/>
        <v>192983.9</v>
      </c>
      <c r="AG25" s="9">
        <v>106218.7</v>
      </c>
      <c r="AH25" s="9">
        <v>71951.100000000006</v>
      </c>
      <c r="AI25" s="9">
        <v>14814.1</v>
      </c>
      <c r="AJ25" s="9">
        <v>2028273.6</v>
      </c>
      <c r="AK25" s="9">
        <v>27476.3</v>
      </c>
      <c r="AL25">
        <v>101303.7</v>
      </c>
      <c r="AM25" s="9">
        <v>2157053.7000000002</v>
      </c>
      <c r="AN25" s="8">
        <f t="shared" si="3"/>
        <v>1409242.9000000001</v>
      </c>
    </row>
    <row r="26" spans="1:40" x14ac:dyDescent="0.25">
      <c r="A26" s="1">
        <f t="shared" si="4"/>
        <v>38869</v>
      </c>
      <c r="B26" s="8">
        <v>149668.70000000001</v>
      </c>
      <c r="C26" s="8">
        <v>-39992.699999999997</v>
      </c>
      <c r="D26" s="8">
        <v>816076.9</v>
      </c>
      <c r="E26" s="8">
        <v>813487.9</v>
      </c>
      <c r="F26" s="8">
        <v>2589</v>
      </c>
      <c r="G26" s="8">
        <v>177231.4</v>
      </c>
      <c r="H26" s="8">
        <v>96000.5</v>
      </c>
      <c r="I26" s="8">
        <v>63587.7</v>
      </c>
      <c r="J26" s="8">
        <v>32412.799999999999</v>
      </c>
      <c r="K26" s="8">
        <v>15303.1</v>
      </c>
      <c r="L26" s="8">
        <v>1556.7</v>
      </c>
      <c r="M26" s="8">
        <v>5978.5</v>
      </c>
      <c r="N26" s="8">
        <v>81230.899999999994</v>
      </c>
      <c r="O26" s="8">
        <v>9809.2999999999993</v>
      </c>
      <c r="P26" s="8">
        <v>11644.1</v>
      </c>
      <c r="Q26" s="8">
        <v>3975.9</v>
      </c>
      <c r="R26" s="8">
        <v>4219.8999999999996</v>
      </c>
      <c r="S26" s="8">
        <v>249.3</v>
      </c>
      <c r="T26" s="8">
        <v>2309</v>
      </c>
      <c r="U26" s="8">
        <v>2432.1999999999998</v>
      </c>
      <c r="V26" s="8">
        <v>6109.8</v>
      </c>
      <c r="W26" s="9">
        <v>24641.5</v>
      </c>
      <c r="X26" s="9">
        <v>154645.20000000001</v>
      </c>
      <c r="Y26" s="8">
        <f t="shared" si="0"/>
        <v>879778.4</v>
      </c>
      <c r="Z26" s="8">
        <f t="shared" si="1"/>
        <v>647768.4</v>
      </c>
      <c r="AA26" s="9">
        <v>180614.7</v>
      </c>
      <c r="AB26" s="9">
        <v>15827.3</v>
      </c>
      <c r="AC26" s="9">
        <v>264677.3</v>
      </c>
      <c r="AD26" s="9">
        <v>52076.2</v>
      </c>
      <c r="AE26" s="9">
        <v>134572.9</v>
      </c>
      <c r="AF26">
        <f t="shared" si="2"/>
        <v>232010</v>
      </c>
      <c r="AG26" s="9">
        <v>131742.70000000001</v>
      </c>
      <c r="AH26" s="9">
        <v>85100.9</v>
      </c>
      <c r="AI26" s="9">
        <v>15166.4</v>
      </c>
      <c r="AJ26" s="9">
        <v>2162049.6</v>
      </c>
      <c r="AK26" s="9">
        <v>35267</v>
      </c>
      <c r="AL26">
        <v>108153.2</v>
      </c>
      <c r="AM26" s="9">
        <v>2305469.7000000002</v>
      </c>
      <c r="AN26" s="8">
        <f t="shared" si="3"/>
        <v>1489392.8000000003</v>
      </c>
    </row>
    <row r="27" spans="1:40" x14ac:dyDescent="0.25">
      <c r="A27" s="1">
        <f t="shared" si="4"/>
        <v>38961</v>
      </c>
      <c r="B27" s="8">
        <v>135038.39999999999</v>
      </c>
      <c r="C27" s="8">
        <v>-43372.7</v>
      </c>
      <c r="D27" s="8">
        <v>758196.2</v>
      </c>
      <c r="E27" s="8">
        <v>755404.2</v>
      </c>
      <c r="F27" s="8">
        <v>2791.9</v>
      </c>
      <c r="G27" s="8">
        <v>200361.9</v>
      </c>
      <c r="H27" s="8">
        <v>98223.099999999991</v>
      </c>
      <c r="I27" s="8">
        <v>64836.299999999988</v>
      </c>
      <c r="J27" s="8">
        <v>33386.800000000003</v>
      </c>
      <c r="K27" s="8">
        <v>15206.1</v>
      </c>
      <c r="L27" s="8">
        <v>1590.1</v>
      </c>
      <c r="M27" s="8">
        <v>6064.3</v>
      </c>
      <c r="N27" s="8">
        <v>102138.8</v>
      </c>
      <c r="O27" s="8">
        <v>10072.6</v>
      </c>
      <c r="P27" s="8">
        <v>11978.2</v>
      </c>
      <c r="Q27" s="8">
        <v>3678.7</v>
      </c>
      <c r="R27" s="8">
        <v>4777.2</v>
      </c>
      <c r="S27" s="8">
        <v>230.4</v>
      </c>
      <c r="T27" s="8">
        <v>2130.6999999999998</v>
      </c>
      <c r="U27" s="8">
        <v>2349.3000000000002</v>
      </c>
      <c r="V27" s="8">
        <v>6758.9</v>
      </c>
      <c r="W27" s="9">
        <v>24068.2</v>
      </c>
      <c r="X27" s="9">
        <v>171292.6</v>
      </c>
      <c r="Y27" s="8">
        <f t="shared" si="0"/>
        <v>855520.5</v>
      </c>
      <c r="Z27" s="8">
        <f t="shared" si="1"/>
        <v>645516.69999999995</v>
      </c>
      <c r="AA27" s="9">
        <v>188881.5</v>
      </c>
      <c r="AB27" s="9">
        <v>15050</v>
      </c>
      <c r="AC27" s="9">
        <v>248770.7</v>
      </c>
      <c r="AD27" s="9">
        <v>56241.3</v>
      </c>
      <c r="AE27" s="9">
        <v>136573.20000000001</v>
      </c>
      <c r="AF27">
        <f t="shared" si="2"/>
        <v>210003.8</v>
      </c>
      <c r="AG27" s="9">
        <v>116703</v>
      </c>
      <c r="AH27" s="9">
        <v>77820.3</v>
      </c>
      <c r="AI27" s="9">
        <v>15480.5</v>
      </c>
      <c r="AJ27" s="9">
        <v>2101105.1</v>
      </c>
      <c r="AK27" s="9">
        <v>35290.1</v>
      </c>
      <c r="AL27">
        <v>112268.9</v>
      </c>
      <c r="AM27" s="9">
        <v>2248664.1</v>
      </c>
      <c r="AN27" s="8">
        <f t="shared" si="3"/>
        <v>1490467.9000000001</v>
      </c>
    </row>
    <row r="28" spans="1:40" x14ac:dyDescent="0.25">
      <c r="A28" s="1">
        <f t="shared" si="4"/>
        <v>39052</v>
      </c>
      <c r="B28" s="8">
        <v>129316.4</v>
      </c>
      <c r="C28" s="8">
        <v>-43291.7</v>
      </c>
      <c r="D28" s="8">
        <v>758006.1</v>
      </c>
      <c r="E28" s="8">
        <v>755404.1</v>
      </c>
      <c r="F28" s="8">
        <v>2602.1</v>
      </c>
      <c r="G28" s="8">
        <v>176146.8</v>
      </c>
      <c r="H28" s="8">
        <v>101934.59999999999</v>
      </c>
      <c r="I28" s="8">
        <v>68294.599999999991</v>
      </c>
      <c r="J28" s="8">
        <v>33640</v>
      </c>
      <c r="K28" s="8">
        <v>15160.9</v>
      </c>
      <c r="L28" s="8">
        <v>1564.9</v>
      </c>
      <c r="M28" s="8">
        <v>6206</v>
      </c>
      <c r="N28" s="8">
        <v>74212.2</v>
      </c>
      <c r="O28" s="8">
        <v>9984.5</v>
      </c>
      <c r="P28" s="8">
        <v>12303.5</v>
      </c>
      <c r="Q28" s="8">
        <v>4869.2</v>
      </c>
      <c r="R28" s="8">
        <v>5554.2</v>
      </c>
      <c r="S28" s="8">
        <v>189.5</v>
      </c>
      <c r="T28" s="8">
        <v>2300.5</v>
      </c>
      <c r="U28" s="8">
        <v>2428.1999999999998</v>
      </c>
      <c r="V28" s="8">
        <v>7733.2</v>
      </c>
      <c r="W28" s="9">
        <v>26234.6</v>
      </c>
      <c r="X28" s="9">
        <v>181958.5</v>
      </c>
      <c r="Y28" s="8">
        <f t="shared" si="0"/>
        <v>870318.8</v>
      </c>
      <c r="Z28" s="8">
        <f t="shared" si="1"/>
        <v>623690.6</v>
      </c>
      <c r="AA28" s="9">
        <v>196182.5</v>
      </c>
      <c r="AB28" s="9">
        <v>15402.6</v>
      </c>
      <c r="AC28" s="9">
        <v>216941.3</v>
      </c>
      <c r="AD28" s="9">
        <v>56137.8</v>
      </c>
      <c r="AE28" s="9">
        <v>139026.4</v>
      </c>
      <c r="AF28">
        <f t="shared" si="2"/>
        <v>246628.2</v>
      </c>
      <c r="AG28" s="9">
        <v>140416.6</v>
      </c>
      <c r="AH28" s="9">
        <v>90234.6</v>
      </c>
      <c r="AI28" s="9">
        <v>15977</v>
      </c>
      <c r="AJ28" s="9">
        <v>2098689.7000000002</v>
      </c>
      <c r="AK28" s="9">
        <v>33475.599999999999</v>
      </c>
      <c r="AL28">
        <v>98302.2</v>
      </c>
      <c r="AM28" s="9">
        <v>2230467.5</v>
      </c>
      <c r="AN28" s="8">
        <f t="shared" si="3"/>
        <v>1472461.4</v>
      </c>
    </row>
    <row r="29" spans="1:40" x14ac:dyDescent="0.25">
      <c r="A29" s="1">
        <f t="shared" si="4"/>
        <v>39142</v>
      </c>
      <c r="B29" s="8">
        <v>166822.1</v>
      </c>
      <c r="C29" s="8">
        <v>-51007.199999999997</v>
      </c>
      <c r="D29" s="8">
        <v>715384.8</v>
      </c>
      <c r="E29" s="8">
        <v>712200.8</v>
      </c>
      <c r="F29" s="8">
        <v>3184</v>
      </c>
      <c r="G29" s="8">
        <v>165571.79999999999</v>
      </c>
      <c r="H29" s="8">
        <v>100702.79999999999</v>
      </c>
      <c r="I29" s="8">
        <v>66382.299999999988</v>
      </c>
      <c r="J29" s="8">
        <v>34320.5</v>
      </c>
      <c r="K29" s="8">
        <v>15010.2</v>
      </c>
      <c r="L29" s="8">
        <v>1521.1</v>
      </c>
      <c r="M29" s="8">
        <v>6396.1</v>
      </c>
      <c r="N29" s="8">
        <v>64869</v>
      </c>
      <c r="O29" s="8">
        <v>9869.2999999999993</v>
      </c>
      <c r="P29" s="8">
        <v>12733.3</v>
      </c>
      <c r="Q29" s="8">
        <v>4191.3</v>
      </c>
      <c r="R29" s="8">
        <v>4939.3999999999996</v>
      </c>
      <c r="S29" s="8">
        <v>224.3</v>
      </c>
      <c r="T29" s="8">
        <v>2280.5</v>
      </c>
      <c r="U29" s="8">
        <v>2541.9</v>
      </c>
      <c r="V29" s="8">
        <v>6674.9</v>
      </c>
      <c r="W29" s="9">
        <v>26529.7</v>
      </c>
      <c r="X29" s="9">
        <v>194656.6</v>
      </c>
      <c r="Y29" s="8">
        <f t="shared" si="0"/>
        <v>930653.7</v>
      </c>
      <c r="Z29" s="8">
        <f t="shared" si="1"/>
        <v>714334.6</v>
      </c>
      <c r="AA29" s="9">
        <v>200661</v>
      </c>
      <c r="AB29" s="9">
        <v>15904</v>
      </c>
      <c r="AC29" s="9">
        <v>292267.09999999998</v>
      </c>
      <c r="AD29" s="9">
        <v>65311</v>
      </c>
      <c r="AE29" s="9">
        <v>140191.5</v>
      </c>
      <c r="AF29">
        <f t="shared" si="2"/>
        <v>216319.1</v>
      </c>
      <c r="AG29" s="9">
        <v>119763.1</v>
      </c>
      <c r="AH29" s="9">
        <v>80294.399999999994</v>
      </c>
      <c r="AI29" s="9">
        <v>16261.6</v>
      </c>
      <c r="AJ29" s="9">
        <v>2148611.6</v>
      </c>
      <c r="AK29" s="9">
        <v>35319.199999999997</v>
      </c>
      <c r="AL29">
        <v>114195</v>
      </c>
      <c r="AM29" s="9">
        <v>2298125.7999999998</v>
      </c>
      <c r="AN29" s="8">
        <f t="shared" si="3"/>
        <v>1582740.9999999998</v>
      </c>
    </row>
    <row r="30" spans="1:40" x14ac:dyDescent="0.25">
      <c r="A30" s="1">
        <f t="shared" si="4"/>
        <v>39234</v>
      </c>
      <c r="B30" s="8">
        <v>168665.2</v>
      </c>
      <c r="C30" s="8">
        <v>-59453.5</v>
      </c>
      <c r="D30" s="8">
        <v>803546.8</v>
      </c>
      <c r="E30" s="8">
        <v>800587.9</v>
      </c>
      <c r="F30" s="8">
        <v>2958.9</v>
      </c>
      <c r="G30" s="8">
        <v>199031</v>
      </c>
      <c r="H30" s="8">
        <v>102555.3</v>
      </c>
      <c r="I30" s="8">
        <v>67822.700000000012</v>
      </c>
      <c r="J30" s="8">
        <v>34732.6</v>
      </c>
      <c r="K30" s="8">
        <v>15249.9</v>
      </c>
      <c r="L30" s="8">
        <v>1539.1</v>
      </c>
      <c r="M30" s="8">
        <v>6567.9</v>
      </c>
      <c r="N30" s="8">
        <v>96475.7</v>
      </c>
      <c r="O30" s="8">
        <v>9934.2000000000007</v>
      </c>
      <c r="P30" s="8">
        <v>12891.8</v>
      </c>
      <c r="Q30" s="8">
        <v>3974.6</v>
      </c>
      <c r="R30" s="8">
        <v>4958.5</v>
      </c>
      <c r="S30" s="8">
        <v>259.89999999999998</v>
      </c>
      <c r="T30" s="8">
        <v>2604.5</v>
      </c>
      <c r="U30" s="8">
        <v>2724</v>
      </c>
      <c r="V30" s="8">
        <v>7118.2</v>
      </c>
      <c r="W30" s="9">
        <v>27930.3</v>
      </c>
      <c r="X30" s="9">
        <v>186872.7</v>
      </c>
      <c r="Y30" s="8">
        <f t="shared" si="0"/>
        <v>1003473.5</v>
      </c>
      <c r="Z30" s="8">
        <f t="shared" si="1"/>
        <v>738431.70000000007</v>
      </c>
      <c r="AA30" s="9">
        <v>212000.5</v>
      </c>
      <c r="AB30" s="9">
        <v>15442.4</v>
      </c>
      <c r="AC30" s="9">
        <v>293210.90000000002</v>
      </c>
      <c r="AD30" s="9">
        <v>75465.5</v>
      </c>
      <c r="AE30" s="9">
        <v>142312.4</v>
      </c>
      <c r="AF30">
        <f t="shared" si="2"/>
        <v>265041.8</v>
      </c>
      <c r="AG30" s="9">
        <v>151316.9</v>
      </c>
      <c r="AH30" s="9">
        <v>97138.5</v>
      </c>
      <c r="AI30" s="9">
        <v>16586.400000000001</v>
      </c>
      <c r="AJ30" s="9">
        <v>2330066.1</v>
      </c>
      <c r="AK30" s="9">
        <v>36911.5</v>
      </c>
      <c r="AL30">
        <v>104306.1</v>
      </c>
      <c r="AM30" s="9">
        <v>2471283.7000000002</v>
      </c>
      <c r="AN30" s="8">
        <f t="shared" si="3"/>
        <v>1667736.9000000001</v>
      </c>
    </row>
    <row r="31" spans="1:40" x14ac:dyDescent="0.25">
      <c r="A31" s="1">
        <f t="shared" si="4"/>
        <v>39326</v>
      </c>
      <c r="B31" s="8">
        <v>145599.70000000001</v>
      </c>
      <c r="C31" s="8">
        <v>-62580.5</v>
      </c>
      <c r="D31" s="8">
        <v>790022.1</v>
      </c>
      <c r="E31" s="8">
        <v>787486</v>
      </c>
      <c r="F31" s="8">
        <v>2536.1</v>
      </c>
      <c r="G31" s="8">
        <v>208286.3</v>
      </c>
      <c r="H31" s="8">
        <v>106333.09999999999</v>
      </c>
      <c r="I31" s="8">
        <v>69990.199999999983</v>
      </c>
      <c r="J31" s="8">
        <v>36342.9</v>
      </c>
      <c r="K31" s="8">
        <v>15720.3</v>
      </c>
      <c r="L31" s="8">
        <v>1621.1</v>
      </c>
      <c r="M31" s="8">
        <v>6724.4</v>
      </c>
      <c r="N31" s="8">
        <v>101953.2</v>
      </c>
      <c r="O31" s="8">
        <v>10069.6</v>
      </c>
      <c r="P31" s="8">
        <v>13053.6</v>
      </c>
      <c r="Q31" s="8">
        <v>4387.2</v>
      </c>
      <c r="R31" s="8">
        <v>5509.2</v>
      </c>
      <c r="S31" s="8">
        <v>279.3</v>
      </c>
      <c r="T31" s="8">
        <v>2513</v>
      </c>
      <c r="U31" s="8">
        <v>2654.3</v>
      </c>
      <c r="V31" s="8">
        <v>7458.2</v>
      </c>
      <c r="W31" s="9">
        <v>28386.3</v>
      </c>
      <c r="X31" s="9">
        <v>192177.1</v>
      </c>
      <c r="Y31" s="8">
        <f t="shared" si="0"/>
        <v>997473.4</v>
      </c>
      <c r="Z31" s="8">
        <f t="shared" si="1"/>
        <v>739083.5</v>
      </c>
      <c r="AA31" s="9">
        <v>227494.7</v>
      </c>
      <c r="AB31" s="9">
        <v>18443.599999999999</v>
      </c>
      <c r="AC31" s="9">
        <v>269055.40000000002</v>
      </c>
      <c r="AD31" s="9">
        <v>79321.5</v>
      </c>
      <c r="AE31" s="9">
        <v>144768.29999999999</v>
      </c>
      <c r="AF31">
        <f t="shared" si="2"/>
        <v>258389.9</v>
      </c>
      <c r="AG31" s="9">
        <v>145895.4</v>
      </c>
      <c r="AH31" s="9">
        <v>95650.6</v>
      </c>
      <c r="AI31" s="9">
        <v>16843.900000000001</v>
      </c>
      <c r="AJ31" s="9">
        <v>2299364.4</v>
      </c>
      <c r="AK31" s="9">
        <v>39963.9</v>
      </c>
      <c r="AL31">
        <v>113332.7</v>
      </c>
      <c r="AM31" s="9">
        <v>2452661</v>
      </c>
      <c r="AN31" s="8">
        <f t="shared" si="3"/>
        <v>1662638.9</v>
      </c>
    </row>
    <row r="32" spans="1:40" x14ac:dyDescent="0.25">
      <c r="A32" s="1">
        <f t="shared" si="4"/>
        <v>39417</v>
      </c>
      <c r="B32" s="8">
        <v>143479</v>
      </c>
      <c r="C32" s="8">
        <v>-62510.8</v>
      </c>
      <c r="D32" s="8">
        <v>933275.2</v>
      </c>
      <c r="E32" s="8">
        <v>931195.2</v>
      </c>
      <c r="F32" s="8">
        <v>2080</v>
      </c>
      <c r="G32" s="8">
        <v>262408.90000000002</v>
      </c>
      <c r="H32" s="8">
        <v>108694.80000000002</v>
      </c>
      <c r="I32" s="8">
        <v>70717.800000000017</v>
      </c>
      <c r="J32" s="8">
        <v>37977</v>
      </c>
      <c r="K32" s="8">
        <v>16377.6</v>
      </c>
      <c r="L32" s="8">
        <v>1688.7</v>
      </c>
      <c r="M32" s="8">
        <v>6867.6</v>
      </c>
      <c r="N32" s="8">
        <v>153714.1</v>
      </c>
      <c r="O32" s="8">
        <v>10312</v>
      </c>
      <c r="P32" s="8">
        <v>13315.2</v>
      </c>
      <c r="Q32" s="8">
        <v>4073.9</v>
      </c>
      <c r="R32" s="8">
        <v>4997.8999999999996</v>
      </c>
      <c r="S32" s="8">
        <v>236.5</v>
      </c>
      <c r="T32" s="8">
        <v>3068</v>
      </c>
      <c r="U32" s="8">
        <v>2855.8</v>
      </c>
      <c r="V32" s="8">
        <v>6924.7</v>
      </c>
      <c r="W32" s="9">
        <v>29485.7</v>
      </c>
      <c r="X32" s="9">
        <v>209619.6</v>
      </c>
      <c r="Y32" s="8">
        <f t="shared" si="0"/>
        <v>989383.20000000007</v>
      </c>
      <c r="Z32" s="8">
        <f t="shared" si="1"/>
        <v>721207.10000000009</v>
      </c>
      <c r="AA32" s="9">
        <v>230007.8</v>
      </c>
      <c r="AB32" s="9">
        <v>19913</v>
      </c>
      <c r="AC32" s="9">
        <v>244159.6</v>
      </c>
      <c r="AD32" s="9">
        <v>79432.899999999994</v>
      </c>
      <c r="AE32" s="9">
        <v>147693.79999999999</v>
      </c>
      <c r="AF32">
        <f t="shared" si="2"/>
        <v>268176.09999999998</v>
      </c>
      <c r="AG32" s="9">
        <v>151154.6</v>
      </c>
      <c r="AH32" s="9">
        <v>99939.4</v>
      </c>
      <c r="AI32" s="9">
        <v>17082.099999999999</v>
      </c>
      <c r="AJ32" s="9">
        <v>2505140.9</v>
      </c>
      <c r="AK32" s="9">
        <v>37168.300000000003</v>
      </c>
      <c r="AL32">
        <v>108591.3</v>
      </c>
      <c r="AM32" s="9">
        <v>2650900.5</v>
      </c>
      <c r="AN32" s="8">
        <f t="shared" si="3"/>
        <v>1717625.3</v>
      </c>
    </row>
    <row r="33" spans="1:40" x14ac:dyDescent="0.25">
      <c r="A33" s="1">
        <f t="shared" si="4"/>
        <v>39508</v>
      </c>
      <c r="B33" s="8">
        <v>165516</v>
      </c>
      <c r="C33" s="8">
        <v>-71278</v>
      </c>
      <c r="D33" s="8">
        <v>1038978.3</v>
      </c>
      <c r="E33" s="8">
        <v>1037140.9</v>
      </c>
      <c r="F33" s="8">
        <v>1837.4</v>
      </c>
      <c r="G33" s="8">
        <v>246774.8</v>
      </c>
      <c r="H33" s="8">
        <v>109095.69999999998</v>
      </c>
      <c r="I33" s="8">
        <v>71973.999999999985</v>
      </c>
      <c r="J33" s="8">
        <v>37121.699999999997</v>
      </c>
      <c r="K33" s="8">
        <v>17210.900000000001</v>
      </c>
      <c r="L33" s="8">
        <v>1825.8</v>
      </c>
      <c r="M33" s="8">
        <v>6993</v>
      </c>
      <c r="N33" s="8">
        <v>137679.1</v>
      </c>
      <c r="O33" s="8">
        <v>10613.5</v>
      </c>
      <c r="P33" s="8">
        <v>13723.2</v>
      </c>
      <c r="Q33" s="8">
        <v>3733.7</v>
      </c>
      <c r="R33" s="8">
        <v>5115.6000000000004</v>
      </c>
      <c r="S33" s="8">
        <v>294.7</v>
      </c>
      <c r="T33" s="8">
        <v>3024.3</v>
      </c>
      <c r="U33" s="8">
        <v>2772.9</v>
      </c>
      <c r="V33" s="8">
        <v>6666.7</v>
      </c>
      <c r="W33" s="9">
        <v>28905.1</v>
      </c>
      <c r="X33" s="9">
        <v>164247.6</v>
      </c>
      <c r="Y33" s="8">
        <f t="shared" si="0"/>
        <v>1070494.7</v>
      </c>
      <c r="Z33" s="8">
        <f t="shared" si="1"/>
        <v>807986.39999999991</v>
      </c>
      <c r="AA33" s="9">
        <v>238632.1</v>
      </c>
      <c r="AB33" s="9">
        <v>20360.7</v>
      </c>
      <c r="AC33" s="9">
        <v>305859.3</v>
      </c>
      <c r="AD33" s="9">
        <v>90279.2</v>
      </c>
      <c r="AE33" s="9">
        <v>152855.1</v>
      </c>
      <c r="AF33">
        <f t="shared" si="2"/>
        <v>262508.3</v>
      </c>
      <c r="AG33" s="9">
        <v>145970.5</v>
      </c>
      <c r="AH33" s="9">
        <v>99318.3</v>
      </c>
      <c r="AI33" s="9">
        <v>17219.5</v>
      </c>
      <c r="AJ33" s="9">
        <v>2643638.6</v>
      </c>
      <c r="AK33" s="9">
        <v>42390.9</v>
      </c>
      <c r="AL33">
        <v>124576.6</v>
      </c>
      <c r="AM33" s="9">
        <v>2810606.2</v>
      </c>
      <c r="AN33" s="8">
        <f t="shared" si="3"/>
        <v>1771627.9000000001</v>
      </c>
    </row>
    <row r="34" spans="1:40" x14ac:dyDescent="0.25">
      <c r="A34" s="1">
        <f t="shared" si="4"/>
        <v>39600</v>
      </c>
      <c r="B34" s="8">
        <v>171467.2</v>
      </c>
      <c r="C34" s="8">
        <v>-78026.100000000006</v>
      </c>
      <c r="D34" s="8">
        <v>1111071.2</v>
      </c>
      <c r="E34" s="8">
        <v>1107409</v>
      </c>
      <c r="F34" s="8">
        <v>3662.1</v>
      </c>
      <c r="G34" s="8">
        <v>301091.7</v>
      </c>
      <c r="H34" s="8">
        <v>113380.30000000002</v>
      </c>
      <c r="I34" s="8">
        <v>74250.000000000015</v>
      </c>
      <c r="J34" s="8">
        <v>39130.300000000003</v>
      </c>
      <c r="K34" s="8">
        <v>17699.599999999999</v>
      </c>
      <c r="L34" s="8">
        <v>1887.7</v>
      </c>
      <c r="M34" s="8">
        <v>7152</v>
      </c>
      <c r="N34" s="8">
        <v>187711.4</v>
      </c>
      <c r="O34" s="8">
        <v>10955.8</v>
      </c>
      <c r="P34" s="8">
        <v>13989.8</v>
      </c>
      <c r="Q34" s="8">
        <v>3745.4</v>
      </c>
      <c r="R34" s="8">
        <v>5640.4</v>
      </c>
      <c r="S34" s="8">
        <v>274.39999999999998</v>
      </c>
      <c r="T34" s="8">
        <v>3209.6</v>
      </c>
      <c r="U34" s="8">
        <v>2724.6</v>
      </c>
      <c r="V34" s="8">
        <v>6970.7</v>
      </c>
      <c r="W34" s="9">
        <v>29580.2</v>
      </c>
      <c r="X34" s="9">
        <v>222071.8</v>
      </c>
      <c r="Y34" s="8">
        <f t="shared" si="0"/>
        <v>1191723.7999999998</v>
      </c>
      <c r="Z34" s="8">
        <f t="shared" si="1"/>
        <v>836790.89999999991</v>
      </c>
      <c r="AA34" s="9">
        <v>252814.1</v>
      </c>
      <c r="AB34" s="9">
        <v>21687.5</v>
      </c>
      <c r="AC34" s="9">
        <v>307838.40000000002</v>
      </c>
      <c r="AD34" s="9">
        <v>98570.1</v>
      </c>
      <c r="AE34" s="9">
        <v>155880.79999999999</v>
      </c>
      <c r="AF34">
        <f t="shared" si="2"/>
        <v>354932.89999999997</v>
      </c>
      <c r="AG34" s="9">
        <v>206147.4</v>
      </c>
      <c r="AH34" s="9">
        <v>131135.20000000001</v>
      </c>
      <c r="AI34" s="9">
        <v>17650.3</v>
      </c>
      <c r="AJ34" s="9">
        <v>2948979.7</v>
      </c>
      <c r="AK34" s="9">
        <v>46672.3</v>
      </c>
      <c r="AL34">
        <v>121742.1</v>
      </c>
      <c r="AM34" s="9">
        <v>3117394.1</v>
      </c>
      <c r="AN34" s="8">
        <f t="shared" si="3"/>
        <v>2006322.9000000001</v>
      </c>
    </row>
    <row r="35" spans="1:40" x14ac:dyDescent="0.25">
      <c r="A35" s="1">
        <f t="shared" si="4"/>
        <v>39692</v>
      </c>
      <c r="B35" s="8">
        <v>138329.20000000001</v>
      </c>
      <c r="C35" s="8">
        <v>-81657.399999999994</v>
      </c>
      <c r="D35" s="8">
        <v>1072016.3999999999</v>
      </c>
      <c r="E35" s="8">
        <v>1068716.2</v>
      </c>
      <c r="F35" s="8">
        <v>3300.1</v>
      </c>
      <c r="G35" s="8">
        <v>298646.2</v>
      </c>
      <c r="H35" s="8">
        <v>114937.1</v>
      </c>
      <c r="I35" s="8">
        <v>75791.700000000012</v>
      </c>
      <c r="J35" s="8">
        <v>39145.4</v>
      </c>
      <c r="K35" s="8">
        <v>18054.900000000001</v>
      </c>
      <c r="L35" s="8">
        <v>1932.7</v>
      </c>
      <c r="M35" s="8">
        <v>7339.1</v>
      </c>
      <c r="N35" s="8">
        <v>183709.1</v>
      </c>
      <c r="O35" s="8">
        <v>11313.6</v>
      </c>
      <c r="P35" s="8">
        <v>14283.4</v>
      </c>
      <c r="Q35" s="8">
        <v>3722.8</v>
      </c>
      <c r="R35" s="8">
        <v>5775.8</v>
      </c>
      <c r="S35" s="8">
        <v>301.7</v>
      </c>
      <c r="T35" s="8">
        <v>3149.1</v>
      </c>
      <c r="U35" s="8">
        <v>2785.5</v>
      </c>
      <c r="V35" s="8">
        <v>7133.1</v>
      </c>
      <c r="W35" s="9">
        <v>30253.3</v>
      </c>
      <c r="X35" s="9">
        <v>240837.6</v>
      </c>
      <c r="Y35" s="8">
        <f t="shared" si="0"/>
        <v>1200357.8999999999</v>
      </c>
      <c r="Z35" s="8">
        <f t="shared" si="1"/>
        <v>837982.2</v>
      </c>
      <c r="AA35" s="9">
        <v>263319.3</v>
      </c>
      <c r="AB35" s="9">
        <v>24038.1</v>
      </c>
      <c r="AC35" s="9">
        <v>288648.59999999998</v>
      </c>
      <c r="AD35" s="9">
        <v>102984.5</v>
      </c>
      <c r="AE35" s="9">
        <v>158991.70000000001</v>
      </c>
      <c r="AF35">
        <f t="shared" si="2"/>
        <v>362375.69999999995</v>
      </c>
      <c r="AG35" s="9">
        <v>210340.3</v>
      </c>
      <c r="AH35" s="9">
        <v>134003.29999999999</v>
      </c>
      <c r="AI35" s="9">
        <v>18032.099999999999</v>
      </c>
      <c r="AJ35" s="9">
        <v>2898783.1</v>
      </c>
      <c r="AK35" s="9">
        <v>47413.9</v>
      </c>
      <c r="AL35">
        <v>127222.6</v>
      </c>
      <c r="AM35" s="9">
        <v>3073419.5</v>
      </c>
      <c r="AN35" s="8">
        <f t="shared" si="3"/>
        <v>2001403.1</v>
      </c>
    </row>
    <row r="36" spans="1:40" x14ac:dyDescent="0.25">
      <c r="A36" s="1">
        <f t="shared" si="4"/>
        <v>39783</v>
      </c>
      <c r="B36" s="8">
        <v>171216.6</v>
      </c>
      <c r="C36" s="8">
        <v>-67087.5</v>
      </c>
      <c r="D36" s="8">
        <v>741054.2</v>
      </c>
      <c r="E36" s="8">
        <v>738614.8</v>
      </c>
      <c r="F36" s="8">
        <v>2439.3000000000002</v>
      </c>
      <c r="G36" s="8">
        <v>181126.3</v>
      </c>
      <c r="H36" s="8">
        <v>123144.9</v>
      </c>
      <c r="I36" s="8">
        <v>82253.299999999988</v>
      </c>
      <c r="J36" s="8">
        <v>40891.599999999999</v>
      </c>
      <c r="K36" s="8">
        <v>17931.7</v>
      </c>
      <c r="L36" s="8">
        <v>2021.8</v>
      </c>
      <c r="M36" s="8">
        <v>7568.9</v>
      </c>
      <c r="N36" s="8">
        <v>57981.4</v>
      </c>
      <c r="O36" s="8">
        <v>11745.1</v>
      </c>
      <c r="P36" s="8">
        <v>14511.6</v>
      </c>
      <c r="Q36" s="8">
        <v>5890.1</v>
      </c>
      <c r="R36" s="8">
        <v>7096.2</v>
      </c>
      <c r="S36" s="8">
        <v>248.3</v>
      </c>
      <c r="T36" s="8">
        <v>3447</v>
      </c>
      <c r="U36" s="8">
        <v>3088.9</v>
      </c>
      <c r="V36" s="8">
        <v>8703.5</v>
      </c>
      <c r="W36" s="9">
        <v>30580.400000000001</v>
      </c>
      <c r="X36" s="9">
        <v>275891</v>
      </c>
      <c r="Y36" s="8">
        <f t="shared" si="0"/>
        <v>1147621.5</v>
      </c>
      <c r="Z36" s="8">
        <f t="shared" si="1"/>
        <v>791163.39999999991</v>
      </c>
      <c r="AA36" s="9">
        <v>264523.59999999998</v>
      </c>
      <c r="AB36" s="9">
        <v>24681.599999999999</v>
      </c>
      <c r="AC36" s="9">
        <v>254479.7</v>
      </c>
      <c r="AD36" s="9">
        <v>85372.2</v>
      </c>
      <c r="AE36" s="9">
        <v>162106.29999999999</v>
      </c>
      <c r="AF36">
        <f t="shared" si="2"/>
        <v>356458.1</v>
      </c>
      <c r="AG36" s="9">
        <v>206088.8</v>
      </c>
      <c r="AH36" s="9">
        <v>131972.20000000001</v>
      </c>
      <c r="AI36" s="9">
        <v>18397.099999999999</v>
      </c>
      <c r="AJ36" s="9">
        <v>2480402.6</v>
      </c>
      <c r="AK36" s="9">
        <v>44404.9</v>
      </c>
      <c r="AL36">
        <v>123466.7</v>
      </c>
      <c r="AM36" s="9">
        <v>2648274.2000000002</v>
      </c>
      <c r="AN36" s="8">
        <f t="shared" si="3"/>
        <v>1907220.0000000002</v>
      </c>
    </row>
    <row r="37" spans="1:40" x14ac:dyDescent="0.25">
      <c r="A37" s="1">
        <f t="shared" si="4"/>
        <v>39873</v>
      </c>
      <c r="B37" s="8">
        <v>209738.7</v>
      </c>
      <c r="C37" s="8">
        <v>-72681.100000000006</v>
      </c>
      <c r="D37" s="8">
        <v>620776.1</v>
      </c>
      <c r="E37" s="8">
        <v>617944.5</v>
      </c>
      <c r="F37" s="8">
        <v>2831.6</v>
      </c>
      <c r="G37" s="8">
        <v>157554.5</v>
      </c>
      <c r="H37" s="8">
        <v>118794.5</v>
      </c>
      <c r="I37" s="8">
        <v>76149.2</v>
      </c>
      <c r="J37" s="8">
        <v>42645.3</v>
      </c>
      <c r="K37" s="8">
        <v>17648.099999999999</v>
      </c>
      <c r="L37" s="8">
        <v>1985.8</v>
      </c>
      <c r="M37" s="8">
        <v>7829.2</v>
      </c>
      <c r="N37" s="8">
        <v>38760</v>
      </c>
      <c r="O37" s="8">
        <v>12265.2</v>
      </c>
      <c r="P37" s="8">
        <v>14629.9</v>
      </c>
      <c r="Q37" s="8">
        <v>4197.3999999999996</v>
      </c>
      <c r="R37" s="8">
        <v>4844.3</v>
      </c>
      <c r="S37" s="8">
        <v>282</v>
      </c>
      <c r="T37" s="8">
        <v>3058.3</v>
      </c>
      <c r="U37" s="8">
        <v>3151.7</v>
      </c>
      <c r="V37" s="8">
        <v>6257.2</v>
      </c>
      <c r="W37" s="9">
        <v>32430.9</v>
      </c>
      <c r="X37" s="9">
        <v>290563.3</v>
      </c>
      <c r="Y37" s="8">
        <f t="shared" si="0"/>
        <v>1225582</v>
      </c>
      <c r="Z37" s="8">
        <f t="shared" si="1"/>
        <v>888574.5</v>
      </c>
      <c r="AA37" s="9">
        <v>281617.2</v>
      </c>
      <c r="AB37" s="9">
        <v>28340.400000000001</v>
      </c>
      <c r="AC37" s="9">
        <v>316967.2</v>
      </c>
      <c r="AD37" s="9">
        <v>91895.7</v>
      </c>
      <c r="AE37" s="9">
        <v>169754</v>
      </c>
      <c r="AF37">
        <f t="shared" si="2"/>
        <v>337007.5</v>
      </c>
      <c r="AG37" s="9">
        <v>193223.6</v>
      </c>
      <c r="AH37" s="9">
        <v>124956.3</v>
      </c>
      <c r="AI37" s="9">
        <v>18827.599999999999</v>
      </c>
      <c r="AJ37" s="9">
        <v>2463964.5</v>
      </c>
      <c r="AK37" s="9">
        <v>47314.2</v>
      </c>
      <c r="AL37">
        <v>136757.6</v>
      </c>
      <c r="AM37" s="9">
        <v>2648036.2999999998</v>
      </c>
      <c r="AN37" s="8">
        <f t="shared" si="3"/>
        <v>2027260.1999999997</v>
      </c>
    </row>
    <row r="38" spans="1:40" x14ac:dyDescent="0.25">
      <c r="A38" s="1">
        <f t="shared" si="4"/>
        <v>39965</v>
      </c>
      <c r="B38" s="8">
        <v>230009.5</v>
      </c>
      <c r="C38" s="8">
        <v>-76190.5</v>
      </c>
      <c r="D38" s="8">
        <v>566837.69999999995</v>
      </c>
      <c r="E38" s="8">
        <v>563836.6</v>
      </c>
      <c r="F38" s="8">
        <v>3001.1</v>
      </c>
      <c r="G38" s="8">
        <v>199486.3</v>
      </c>
      <c r="H38" s="8">
        <v>122717.29999999999</v>
      </c>
      <c r="I38" s="8">
        <v>80007.699999999983</v>
      </c>
      <c r="J38" s="8">
        <v>42709.599999999999</v>
      </c>
      <c r="K38" s="8">
        <v>17829.7</v>
      </c>
      <c r="L38" s="8">
        <v>1976.5</v>
      </c>
      <c r="M38" s="8">
        <v>8040.3</v>
      </c>
      <c r="N38" s="8">
        <v>76769</v>
      </c>
      <c r="O38" s="8">
        <v>12667.2</v>
      </c>
      <c r="P38" s="8">
        <v>14802.2</v>
      </c>
      <c r="Q38" s="8">
        <v>4627.7</v>
      </c>
      <c r="R38" s="8">
        <v>5837.6</v>
      </c>
      <c r="S38" s="8">
        <v>285.5</v>
      </c>
      <c r="T38" s="8">
        <v>3267.2</v>
      </c>
      <c r="U38" s="8">
        <v>3416.3</v>
      </c>
      <c r="V38" s="8">
        <v>7257.6</v>
      </c>
      <c r="W38" s="9">
        <v>33946.5</v>
      </c>
      <c r="X38" s="9">
        <v>273957.90000000002</v>
      </c>
      <c r="Y38" s="8">
        <f t="shared" si="0"/>
        <v>1304848.5999999999</v>
      </c>
      <c r="Z38" s="8">
        <f t="shared" si="1"/>
        <v>906743.99999999988</v>
      </c>
      <c r="AA38" s="9">
        <v>290332.2</v>
      </c>
      <c r="AB38" s="9">
        <v>27859.1</v>
      </c>
      <c r="AC38" s="9">
        <v>318885.40000000002</v>
      </c>
      <c r="AD38" s="9">
        <v>96286.2</v>
      </c>
      <c r="AE38" s="9">
        <v>173381.1</v>
      </c>
      <c r="AF38">
        <f t="shared" si="2"/>
        <v>398104.6</v>
      </c>
      <c r="AG38" s="9">
        <v>233579.4</v>
      </c>
      <c r="AH38" s="9">
        <v>145186.20000000001</v>
      </c>
      <c r="AI38" s="9">
        <v>19339</v>
      </c>
      <c r="AJ38" s="9">
        <v>2532896.1</v>
      </c>
      <c r="AK38" s="9">
        <v>49979.5</v>
      </c>
      <c r="AL38">
        <v>133336.20000000001</v>
      </c>
      <c r="AM38" s="9">
        <v>2716211.9</v>
      </c>
      <c r="AN38" s="8">
        <f t="shared" si="3"/>
        <v>2149374.2000000002</v>
      </c>
    </row>
    <row r="39" spans="1:40" x14ac:dyDescent="0.25">
      <c r="A39" s="1">
        <f t="shared" si="4"/>
        <v>40057</v>
      </c>
      <c r="B39" s="8">
        <v>197798.7</v>
      </c>
      <c r="C39" s="8">
        <v>-80995.100000000006</v>
      </c>
      <c r="D39" s="8">
        <v>641576.6</v>
      </c>
      <c r="E39" s="8">
        <v>638639.6</v>
      </c>
      <c r="F39" s="8">
        <v>2937</v>
      </c>
      <c r="G39" s="8">
        <v>227939.8</v>
      </c>
      <c r="H39" s="8">
        <v>126471.29999999999</v>
      </c>
      <c r="I39" s="8">
        <v>81452.999999999985</v>
      </c>
      <c r="J39" s="8">
        <v>45018.3</v>
      </c>
      <c r="K39" s="8">
        <v>18281.900000000001</v>
      </c>
      <c r="L39" s="8">
        <v>1980.1</v>
      </c>
      <c r="M39" s="8">
        <v>8200.2000000000007</v>
      </c>
      <c r="N39" s="8">
        <v>101468.5</v>
      </c>
      <c r="O39" s="8">
        <v>12699.1</v>
      </c>
      <c r="P39" s="8">
        <v>15450.9</v>
      </c>
      <c r="Q39" s="8">
        <v>4598.8999999999996</v>
      </c>
      <c r="R39" s="8">
        <v>6101.9</v>
      </c>
      <c r="S39" s="8">
        <v>220</v>
      </c>
      <c r="T39" s="8">
        <v>2879</v>
      </c>
      <c r="U39" s="8">
        <v>3430.4</v>
      </c>
      <c r="V39" s="8">
        <v>7610.6</v>
      </c>
      <c r="W39" s="9">
        <v>34007.1</v>
      </c>
      <c r="X39" s="9">
        <v>228470.6</v>
      </c>
      <c r="Y39" s="8">
        <f t="shared" si="0"/>
        <v>1269228.4000000001</v>
      </c>
      <c r="Z39" s="8">
        <f t="shared" si="1"/>
        <v>889464.8</v>
      </c>
      <c r="AA39" s="9">
        <v>286319.3</v>
      </c>
      <c r="AB39" s="9">
        <v>26842.9</v>
      </c>
      <c r="AC39" s="9">
        <v>298401.3</v>
      </c>
      <c r="AD39" s="9">
        <v>102609.9</v>
      </c>
      <c r="AE39" s="9">
        <v>175291.4</v>
      </c>
      <c r="AF39">
        <f t="shared" si="2"/>
        <v>379763.60000000003</v>
      </c>
      <c r="AG39" s="9">
        <v>221069.2</v>
      </c>
      <c r="AH39" s="9">
        <v>138994</v>
      </c>
      <c r="AI39" s="9">
        <v>19700.400000000001</v>
      </c>
      <c r="AJ39" s="9">
        <v>2518026.1</v>
      </c>
      <c r="AK39" s="9">
        <v>48392.800000000003</v>
      </c>
      <c r="AL39">
        <v>136787.1</v>
      </c>
      <c r="AM39" s="9">
        <v>2703206</v>
      </c>
      <c r="AN39" s="8">
        <f t="shared" si="3"/>
        <v>2061629.4</v>
      </c>
    </row>
    <row r="40" spans="1:40" x14ac:dyDescent="0.25">
      <c r="A40" s="1">
        <f t="shared" si="4"/>
        <v>40148</v>
      </c>
      <c r="B40" s="8">
        <v>237291.1</v>
      </c>
      <c r="C40" s="8">
        <v>-73229.3</v>
      </c>
      <c r="D40" s="8">
        <v>741440.6</v>
      </c>
      <c r="E40" s="8">
        <v>737969.3</v>
      </c>
      <c r="F40" s="8">
        <v>3471.4</v>
      </c>
      <c r="G40" s="8">
        <v>275115.40000000002</v>
      </c>
      <c r="H40" s="8">
        <v>135285.90000000002</v>
      </c>
      <c r="I40" s="8">
        <v>88549.10000000002</v>
      </c>
      <c r="J40" s="8">
        <v>46736.800000000003</v>
      </c>
      <c r="K40" s="8">
        <v>18908.2</v>
      </c>
      <c r="L40" s="8">
        <v>1984.6</v>
      </c>
      <c r="M40" s="8">
        <v>8309.4</v>
      </c>
      <c r="N40" s="8">
        <v>139829.5</v>
      </c>
      <c r="O40" s="8">
        <v>12701.4</v>
      </c>
      <c r="P40" s="8">
        <v>16394</v>
      </c>
      <c r="Q40" s="8">
        <v>7025</v>
      </c>
      <c r="R40" s="8">
        <v>6707.2</v>
      </c>
      <c r="S40" s="8">
        <v>260.60000000000002</v>
      </c>
      <c r="T40" s="8">
        <v>3640.5</v>
      </c>
      <c r="U40" s="8">
        <v>3900.7</v>
      </c>
      <c r="V40" s="8">
        <v>8717.6</v>
      </c>
      <c r="W40" s="9">
        <v>34323.599999999999</v>
      </c>
      <c r="X40" s="9">
        <v>229448.2</v>
      </c>
      <c r="Y40" s="8">
        <f t="shared" si="0"/>
        <v>1238626.8</v>
      </c>
      <c r="Z40" s="8">
        <f t="shared" si="1"/>
        <v>865055.6</v>
      </c>
      <c r="AA40" s="9">
        <v>300415.3</v>
      </c>
      <c r="AB40" s="9">
        <v>27288.5</v>
      </c>
      <c r="AC40" s="9">
        <v>261473.1</v>
      </c>
      <c r="AD40" s="9">
        <v>94183.2</v>
      </c>
      <c r="AE40" s="9">
        <v>181695.5</v>
      </c>
      <c r="AF40">
        <f t="shared" si="2"/>
        <v>373571.2</v>
      </c>
      <c r="AG40" s="9">
        <v>216520.7</v>
      </c>
      <c r="AH40" s="9">
        <v>137151.5</v>
      </c>
      <c r="AI40" s="9">
        <v>19899</v>
      </c>
      <c r="AJ40" s="9">
        <v>2683016.2999999998</v>
      </c>
      <c r="AK40" s="9">
        <v>39347.5</v>
      </c>
      <c r="AL40">
        <v>130345.1</v>
      </c>
      <c r="AM40" s="9">
        <v>2852708.9</v>
      </c>
      <c r="AN40" s="8">
        <f t="shared" si="3"/>
        <v>2111268.2999999998</v>
      </c>
    </row>
    <row r="41" spans="1:40" x14ac:dyDescent="0.25">
      <c r="A41" s="1">
        <f t="shared" si="4"/>
        <v>40238</v>
      </c>
      <c r="B41" s="8">
        <v>263414.7</v>
      </c>
      <c r="C41" s="8">
        <v>-77961.3</v>
      </c>
      <c r="D41" s="8">
        <v>802474.6</v>
      </c>
      <c r="E41" s="8">
        <v>798677.8</v>
      </c>
      <c r="F41" s="8">
        <v>3796.8</v>
      </c>
      <c r="G41" s="8">
        <v>283013</v>
      </c>
      <c r="H41" s="8">
        <v>136398.39999999999</v>
      </c>
      <c r="I41" s="8">
        <v>87874.299999999988</v>
      </c>
      <c r="J41" s="8">
        <v>48524.1</v>
      </c>
      <c r="K41" s="8">
        <v>20093.8</v>
      </c>
      <c r="L41" s="8">
        <v>2006.1</v>
      </c>
      <c r="M41" s="8">
        <v>8369.5</v>
      </c>
      <c r="N41" s="8">
        <v>146614.6</v>
      </c>
      <c r="O41" s="8">
        <v>12686.9</v>
      </c>
      <c r="P41" s="8">
        <v>17490.900000000001</v>
      </c>
      <c r="Q41" s="8">
        <v>4660.3</v>
      </c>
      <c r="R41" s="8">
        <v>6239.9</v>
      </c>
      <c r="S41" s="8">
        <v>339.5</v>
      </c>
      <c r="T41" s="8">
        <v>3785.3</v>
      </c>
      <c r="U41" s="8">
        <v>3985.9</v>
      </c>
      <c r="V41" s="8">
        <v>8216.1</v>
      </c>
      <c r="W41" s="9">
        <v>34925.300000000003</v>
      </c>
      <c r="X41" s="9">
        <v>310141.8</v>
      </c>
      <c r="Y41" s="8">
        <f t="shared" si="0"/>
        <v>1376191.7999999998</v>
      </c>
      <c r="Z41" s="8">
        <f t="shared" si="1"/>
        <v>967986.39999999991</v>
      </c>
      <c r="AA41" s="9">
        <v>305520.59999999998</v>
      </c>
      <c r="AB41" s="9">
        <v>29495.7</v>
      </c>
      <c r="AC41" s="9">
        <v>340857.3</v>
      </c>
      <c r="AD41" s="9">
        <v>101169.1</v>
      </c>
      <c r="AE41" s="9">
        <v>190943.7</v>
      </c>
      <c r="AF41">
        <f t="shared" si="2"/>
        <v>408205.39999999997</v>
      </c>
      <c r="AG41" s="9">
        <v>238562.8</v>
      </c>
      <c r="AH41" s="9">
        <v>149082.9</v>
      </c>
      <c r="AI41" s="9">
        <v>20559.7</v>
      </c>
      <c r="AJ41" s="9">
        <v>2992199.9</v>
      </c>
      <c r="AK41" s="9">
        <v>45898.9</v>
      </c>
      <c r="AL41">
        <v>152295.70000000001</v>
      </c>
      <c r="AM41" s="9">
        <v>3190394.5</v>
      </c>
      <c r="AN41" s="8">
        <f t="shared" si="3"/>
        <v>2387919.9</v>
      </c>
    </row>
    <row r="42" spans="1:40" x14ac:dyDescent="0.25">
      <c r="A42" s="1">
        <f t="shared" si="4"/>
        <v>40330</v>
      </c>
      <c r="B42" s="8">
        <v>255763.4</v>
      </c>
      <c r="C42" s="8">
        <v>-77438.399999999994</v>
      </c>
      <c r="D42" s="8">
        <v>806005.9</v>
      </c>
      <c r="E42" s="8">
        <v>801851.7</v>
      </c>
      <c r="F42" s="8">
        <v>4154.2</v>
      </c>
      <c r="G42" s="8">
        <v>306433.90000000002</v>
      </c>
      <c r="H42" s="8">
        <v>143994.50000000003</v>
      </c>
      <c r="I42" s="8">
        <v>93345.900000000023</v>
      </c>
      <c r="J42" s="8">
        <v>50648.6</v>
      </c>
      <c r="K42" s="8">
        <v>20862.2</v>
      </c>
      <c r="L42" s="8">
        <v>2040.6</v>
      </c>
      <c r="M42" s="8">
        <v>8462</v>
      </c>
      <c r="N42" s="8">
        <v>162439.4</v>
      </c>
      <c r="O42" s="8">
        <v>12904.6</v>
      </c>
      <c r="P42" s="8">
        <v>18632.2</v>
      </c>
      <c r="Q42" s="8">
        <v>5355.5</v>
      </c>
      <c r="R42" s="8">
        <v>7189.3</v>
      </c>
      <c r="S42" s="8">
        <v>353.6</v>
      </c>
      <c r="T42" s="8">
        <v>4191.5</v>
      </c>
      <c r="U42" s="8">
        <v>4255.8999999999996</v>
      </c>
      <c r="V42" s="8">
        <v>9098.5</v>
      </c>
      <c r="W42" s="9">
        <v>36228.699999999997</v>
      </c>
      <c r="X42" s="9">
        <v>337089.9</v>
      </c>
      <c r="Y42" s="8">
        <f t="shared" si="0"/>
        <v>1463651.3</v>
      </c>
      <c r="Z42" s="8">
        <f t="shared" si="1"/>
        <v>972598.3</v>
      </c>
      <c r="AA42" s="9">
        <v>312797.8</v>
      </c>
      <c r="AB42" s="9">
        <v>31197.7</v>
      </c>
      <c r="AC42" s="9">
        <v>329158.8</v>
      </c>
      <c r="AD42" s="9">
        <v>101274</v>
      </c>
      <c r="AE42" s="9">
        <v>198170</v>
      </c>
      <c r="AF42">
        <f t="shared" si="2"/>
        <v>491053</v>
      </c>
      <c r="AG42" s="9">
        <v>292856.3</v>
      </c>
      <c r="AH42" s="9">
        <v>177212.1</v>
      </c>
      <c r="AI42" s="9">
        <v>20984.6</v>
      </c>
      <c r="AJ42" s="9">
        <v>3127734.7</v>
      </c>
      <c r="AK42" s="9">
        <v>46648.7</v>
      </c>
      <c r="AL42">
        <v>138119.1</v>
      </c>
      <c r="AM42" s="9">
        <v>3312502.6</v>
      </c>
      <c r="AN42" s="8">
        <f t="shared" si="3"/>
        <v>2506496.7000000002</v>
      </c>
    </row>
    <row r="43" spans="1:40" x14ac:dyDescent="0.25">
      <c r="A43" s="1">
        <f t="shared" si="4"/>
        <v>40422</v>
      </c>
      <c r="B43" s="8">
        <v>227501.6</v>
      </c>
      <c r="C43" s="8">
        <v>-80432.399999999994</v>
      </c>
      <c r="D43" s="8">
        <v>820403.7</v>
      </c>
      <c r="E43" s="8">
        <v>816335.4</v>
      </c>
      <c r="F43" s="8">
        <v>4068.3</v>
      </c>
      <c r="G43" s="8">
        <v>307134.40000000002</v>
      </c>
      <c r="H43" s="8">
        <v>148814.60000000003</v>
      </c>
      <c r="I43" s="8">
        <v>97660.400000000038</v>
      </c>
      <c r="J43" s="8">
        <v>51154.2</v>
      </c>
      <c r="K43" s="8">
        <v>21426.3</v>
      </c>
      <c r="L43" s="8">
        <v>2085.6</v>
      </c>
      <c r="M43" s="8">
        <v>8592.1</v>
      </c>
      <c r="N43" s="8">
        <v>158319.79999999999</v>
      </c>
      <c r="O43" s="8">
        <v>13316.5</v>
      </c>
      <c r="P43" s="8">
        <v>18947.8</v>
      </c>
      <c r="Q43" s="8">
        <v>6016.4</v>
      </c>
      <c r="R43" s="8">
        <v>8502.7999999999993</v>
      </c>
      <c r="S43" s="8">
        <v>294.5</v>
      </c>
      <c r="T43" s="8">
        <v>3976.9</v>
      </c>
      <c r="U43" s="8">
        <v>4223.8999999999996</v>
      </c>
      <c r="V43" s="8">
        <v>10277.4</v>
      </c>
      <c r="W43" s="9">
        <v>36579.800000000003</v>
      </c>
      <c r="X43" s="9">
        <v>332203</v>
      </c>
      <c r="Y43" s="8">
        <f t="shared" si="0"/>
        <v>1527697.7000000002</v>
      </c>
      <c r="Z43" s="8">
        <f t="shared" si="1"/>
        <v>980618.8</v>
      </c>
      <c r="AA43" s="9">
        <v>326952.7</v>
      </c>
      <c r="AB43" s="9">
        <v>32707.7</v>
      </c>
      <c r="AC43" s="9">
        <v>312568</v>
      </c>
      <c r="AD43" s="9">
        <v>105052.4</v>
      </c>
      <c r="AE43" s="9">
        <v>203338</v>
      </c>
      <c r="AF43">
        <f t="shared" si="2"/>
        <v>547078.9</v>
      </c>
      <c r="AG43" s="9">
        <v>329418.3</v>
      </c>
      <c r="AH43" s="9">
        <v>196253.3</v>
      </c>
      <c r="AI43" s="9">
        <v>21407.3</v>
      </c>
      <c r="AJ43" s="9">
        <v>3171087.7</v>
      </c>
      <c r="AK43" s="9">
        <v>52744.7</v>
      </c>
      <c r="AL43">
        <v>151949.4</v>
      </c>
      <c r="AM43" s="9">
        <v>3375781.8</v>
      </c>
      <c r="AN43" s="8">
        <f t="shared" si="3"/>
        <v>2555378.0999999996</v>
      </c>
    </row>
    <row r="44" spans="1:40" x14ac:dyDescent="0.25">
      <c r="A44" s="1">
        <f t="shared" si="4"/>
        <v>40513</v>
      </c>
      <c r="B44" s="8">
        <v>249368.3</v>
      </c>
      <c r="C44" s="8">
        <v>-77332</v>
      </c>
      <c r="D44" s="8">
        <v>891628.8</v>
      </c>
      <c r="E44" s="8">
        <v>887183.2</v>
      </c>
      <c r="F44" s="8">
        <v>4445.7</v>
      </c>
      <c r="G44" s="8">
        <v>342683.6</v>
      </c>
      <c r="H44" s="8">
        <v>154772.39999999997</v>
      </c>
      <c r="I44" s="8">
        <v>102398.29999999996</v>
      </c>
      <c r="J44" s="8">
        <v>52374.1</v>
      </c>
      <c r="K44" s="8">
        <v>21913.599999999999</v>
      </c>
      <c r="L44" s="8">
        <v>2155.6</v>
      </c>
      <c r="M44" s="8">
        <v>8764.4</v>
      </c>
      <c r="N44" s="8">
        <v>187911.2</v>
      </c>
      <c r="O44" s="8">
        <v>13992.1</v>
      </c>
      <c r="P44" s="8">
        <v>19365.099999999999</v>
      </c>
      <c r="Q44" s="8">
        <v>6965.8</v>
      </c>
      <c r="R44" s="8">
        <v>9165.9</v>
      </c>
      <c r="S44" s="8">
        <v>322.39999999999998</v>
      </c>
      <c r="T44" s="8">
        <v>4356.2</v>
      </c>
      <c r="U44" s="8">
        <v>4461.3</v>
      </c>
      <c r="V44" s="8">
        <v>10935.9</v>
      </c>
      <c r="W44" s="9">
        <v>36939.300000000003</v>
      </c>
      <c r="X44" s="9">
        <v>299398.3</v>
      </c>
      <c r="Y44" s="8">
        <f t="shared" si="0"/>
        <v>1398753.4000000001</v>
      </c>
      <c r="Z44" s="8">
        <f t="shared" si="1"/>
        <v>963938.40000000014</v>
      </c>
      <c r="AA44" s="9">
        <v>345519.8</v>
      </c>
      <c r="AB44" s="9">
        <v>32911.9</v>
      </c>
      <c r="AC44" s="9">
        <v>280928.90000000002</v>
      </c>
      <c r="AD44" s="9">
        <v>100939.5</v>
      </c>
      <c r="AE44" s="9">
        <v>203638.3</v>
      </c>
      <c r="AF44">
        <f t="shared" si="2"/>
        <v>434815</v>
      </c>
      <c r="AG44" s="9">
        <v>254895.7</v>
      </c>
      <c r="AH44" s="9">
        <v>158980.79999999999</v>
      </c>
      <c r="AI44" s="9">
        <v>20938.5</v>
      </c>
      <c r="AJ44" s="9">
        <v>3141439.7</v>
      </c>
      <c r="AK44" s="9">
        <v>52579.7</v>
      </c>
      <c r="AL44">
        <v>152017.79999999999</v>
      </c>
      <c r="AM44" s="9">
        <v>3346037.1</v>
      </c>
      <c r="AN44" s="8">
        <f t="shared" si="3"/>
        <v>2454408.2999999998</v>
      </c>
    </row>
    <row r="45" spans="1:40" x14ac:dyDescent="0.25">
      <c r="A45" s="1">
        <f t="shared" si="4"/>
        <v>40603</v>
      </c>
      <c r="B45" s="8">
        <v>294711.7</v>
      </c>
      <c r="C45" s="8">
        <v>-87338.2</v>
      </c>
      <c r="D45" s="8">
        <v>1046032.7</v>
      </c>
      <c r="E45" s="8">
        <v>1041828.3</v>
      </c>
      <c r="F45" s="8">
        <v>4204.3</v>
      </c>
      <c r="G45" s="8">
        <v>358604.1</v>
      </c>
      <c r="H45" s="8">
        <v>153815.99999999997</v>
      </c>
      <c r="I45" s="8">
        <v>100337.89999999997</v>
      </c>
      <c r="J45" s="8">
        <v>53478.1</v>
      </c>
      <c r="K45" s="8">
        <v>22031.4</v>
      </c>
      <c r="L45" s="8">
        <v>2241.8000000000002</v>
      </c>
      <c r="M45" s="8">
        <v>8965.6</v>
      </c>
      <c r="N45" s="8">
        <v>204788.1</v>
      </c>
      <c r="O45" s="8">
        <v>14844.4</v>
      </c>
      <c r="P45" s="8">
        <v>19500</v>
      </c>
      <c r="Q45" s="8">
        <v>5875.1</v>
      </c>
      <c r="R45" s="8">
        <v>8504.5</v>
      </c>
      <c r="S45" s="8">
        <v>380.2</v>
      </c>
      <c r="T45" s="8">
        <v>4091</v>
      </c>
      <c r="U45" s="8">
        <v>4342.2</v>
      </c>
      <c r="V45" s="8">
        <v>9561.7000000000007</v>
      </c>
      <c r="W45" s="9">
        <v>38008.9</v>
      </c>
      <c r="X45" s="9">
        <v>262188.40000000002</v>
      </c>
      <c r="Y45" s="8">
        <f t="shared" si="0"/>
        <v>1617386</v>
      </c>
      <c r="Z45" s="8">
        <f t="shared" si="1"/>
        <v>1082988.8999999999</v>
      </c>
      <c r="AA45" s="9">
        <v>350964.6</v>
      </c>
      <c r="AB45" s="9">
        <v>31120.7</v>
      </c>
      <c r="AC45" s="9">
        <v>381381.1</v>
      </c>
      <c r="AD45" s="9">
        <v>112039</v>
      </c>
      <c r="AE45" s="9">
        <v>207483.5</v>
      </c>
      <c r="AF45">
        <f t="shared" si="2"/>
        <v>534397.1</v>
      </c>
      <c r="AG45" s="9">
        <v>320197.5</v>
      </c>
      <c r="AH45" s="9">
        <v>192325.6</v>
      </c>
      <c r="AI45" s="9">
        <v>21874</v>
      </c>
      <c r="AJ45" s="9">
        <v>3529593.6</v>
      </c>
      <c r="AK45" s="9">
        <v>53997.4</v>
      </c>
      <c r="AL45">
        <v>163973.6</v>
      </c>
      <c r="AM45" s="9">
        <v>3747564.6</v>
      </c>
      <c r="AN45" s="8">
        <f t="shared" si="3"/>
        <v>2701531.9000000004</v>
      </c>
    </row>
    <row r="46" spans="1:40" x14ac:dyDescent="0.25">
      <c r="A46" s="1">
        <f t="shared" si="4"/>
        <v>40695</v>
      </c>
      <c r="B46" s="8">
        <v>295967.7</v>
      </c>
      <c r="C46" s="8">
        <v>-91949.6</v>
      </c>
      <c r="D46" s="8">
        <v>996327.5</v>
      </c>
      <c r="E46" s="8">
        <v>992318.7</v>
      </c>
      <c r="F46" s="8">
        <v>4008.8</v>
      </c>
      <c r="G46" s="8">
        <v>421303.2</v>
      </c>
      <c r="H46" s="8">
        <v>159659</v>
      </c>
      <c r="I46" s="8">
        <v>104944.2</v>
      </c>
      <c r="J46" s="8">
        <v>54714.8</v>
      </c>
      <c r="K46" s="8">
        <v>22217.1</v>
      </c>
      <c r="L46" s="8">
        <v>2300.5</v>
      </c>
      <c r="M46" s="8">
        <v>9171.1</v>
      </c>
      <c r="N46" s="8">
        <v>261644.2</v>
      </c>
      <c r="O46" s="8">
        <v>15570.6</v>
      </c>
      <c r="P46" s="8">
        <v>19761.900000000001</v>
      </c>
      <c r="Q46" s="8">
        <v>6425</v>
      </c>
      <c r="R46" s="8">
        <v>9744.6</v>
      </c>
      <c r="S46" s="8">
        <v>373.7</v>
      </c>
      <c r="T46" s="8">
        <v>4229.8999999999996</v>
      </c>
      <c r="U46" s="8">
        <v>4411.5</v>
      </c>
      <c r="V46" s="8">
        <v>10738.3</v>
      </c>
      <c r="W46" s="9">
        <v>38608.9</v>
      </c>
      <c r="X46" s="9">
        <v>316184.3</v>
      </c>
      <c r="Y46" s="8">
        <f t="shared" si="0"/>
        <v>1755793</v>
      </c>
      <c r="Z46" s="8">
        <f t="shared" si="1"/>
        <v>1101849.2</v>
      </c>
      <c r="AA46" s="9">
        <v>362209.7</v>
      </c>
      <c r="AB46" s="9">
        <v>31491.9</v>
      </c>
      <c r="AC46" s="9">
        <v>379182.3</v>
      </c>
      <c r="AD46" s="9">
        <v>117064.9</v>
      </c>
      <c r="AE46" s="9">
        <v>211900.4</v>
      </c>
      <c r="AF46">
        <f t="shared" si="2"/>
        <v>653943.79999999993</v>
      </c>
      <c r="AG46" s="9">
        <v>398707.6</v>
      </c>
      <c r="AH46" s="9">
        <v>232612</v>
      </c>
      <c r="AI46" s="9">
        <v>22624.2</v>
      </c>
      <c r="AJ46" s="9">
        <v>3732235</v>
      </c>
      <c r="AK46" s="9">
        <v>54613.4</v>
      </c>
      <c r="AL46">
        <v>163411.5</v>
      </c>
      <c r="AM46" s="9">
        <v>3950259.9</v>
      </c>
      <c r="AN46" s="8">
        <f t="shared" si="3"/>
        <v>2953932.4</v>
      </c>
    </row>
    <row r="47" spans="1:40" x14ac:dyDescent="0.25">
      <c r="A47" s="1">
        <f t="shared" si="4"/>
        <v>40787</v>
      </c>
      <c r="B47" s="8">
        <v>255101.8</v>
      </c>
      <c r="C47" s="8">
        <v>-92970.8</v>
      </c>
      <c r="D47" s="8">
        <v>1029439.5</v>
      </c>
      <c r="E47" s="8">
        <v>1024954.5</v>
      </c>
      <c r="F47" s="8">
        <v>4485</v>
      </c>
      <c r="G47" s="8">
        <v>397425</v>
      </c>
      <c r="H47" s="8">
        <v>160369.79999999999</v>
      </c>
      <c r="I47" s="8">
        <v>104725.59999999999</v>
      </c>
      <c r="J47" s="8">
        <v>55644.2</v>
      </c>
      <c r="K47" s="8">
        <v>22079.8</v>
      </c>
      <c r="L47" s="8">
        <v>2331.1</v>
      </c>
      <c r="M47" s="8">
        <v>9383.1</v>
      </c>
      <c r="N47" s="8">
        <v>237055.2</v>
      </c>
      <c r="O47" s="8">
        <v>16178.7</v>
      </c>
      <c r="P47" s="8">
        <v>19994.099999999999</v>
      </c>
      <c r="Q47" s="8">
        <v>6271.7</v>
      </c>
      <c r="R47" s="8">
        <v>9855</v>
      </c>
      <c r="S47" s="8">
        <v>299.2</v>
      </c>
      <c r="T47" s="8">
        <v>3895.3</v>
      </c>
      <c r="U47" s="8">
        <v>4182.8999999999996</v>
      </c>
      <c r="V47" s="8">
        <v>10254.799999999999</v>
      </c>
      <c r="W47" s="9">
        <v>39475.699999999997</v>
      </c>
      <c r="X47" s="9">
        <v>321675.3</v>
      </c>
      <c r="Y47" s="8">
        <f t="shared" si="0"/>
        <v>1811890.1</v>
      </c>
      <c r="Z47" s="8">
        <f t="shared" si="1"/>
        <v>1088482.7</v>
      </c>
      <c r="AA47" s="9">
        <v>368678.3</v>
      </c>
      <c r="AB47" s="9">
        <v>33648.300000000003</v>
      </c>
      <c r="AC47" s="9">
        <v>350645.1</v>
      </c>
      <c r="AD47" s="9">
        <v>118188.5</v>
      </c>
      <c r="AE47" s="9">
        <v>217322.5</v>
      </c>
      <c r="AF47">
        <f t="shared" si="2"/>
        <v>723407.4</v>
      </c>
      <c r="AG47" s="9">
        <v>443829.8</v>
      </c>
      <c r="AH47" s="9">
        <v>256267.6</v>
      </c>
      <c r="AI47" s="9">
        <v>23310</v>
      </c>
      <c r="AJ47" s="9">
        <v>3762036.6</v>
      </c>
      <c r="AK47" s="9">
        <v>60157.3</v>
      </c>
      <c r="AL47">
        <v>162583.6</v>
      </c>
      <c r="AM47" s="9">
        <v>3984777.5</v>
      </c>
      <c r="AN47" s="8">
        <f t="shared" si="3"/>
        <v>2955338</v>
      </c>
    </row>
    <row r="48" spans="1:40" x14ac:dyDescent="0.25">
      <c r="A48" s="1">
        <f t="shared" si="4"/>
        <v>40878</v>
      </c>
      <c r="B48" s="8">
        <v>282246.7</v>
      </c>
      <c r="C48" s="8">
        <v>-93369.4</v>
      </c>
      <c r="D48" s="8">
        <v>1093944.3999999999</v>
      </c>
      <c r="E48" s="8">
        <v>1088912.3999999999</v>
      </c>
      <c r="F48" s="8">
        <v>5031.8999999999996</v>
      </c>
      <c r="G48" s="8">
        <v>372685.8</v>
      </c>
      <c r="H48" s="8">
        <v>163315.29999999999</v>
      </c>
      <c r="I48" s="8">
        <v>107599.4</v>
      </c>
      <c r="J48" s="8">
        <v>55715.9</v>
      </c>
      <c r="K48" s="8">
        <v>22083.599999999999</v>
      </c>
      <c r="L48" s="8">
        <v>2325.6999999999998</v>
      </c>
      <c r="M48" s="8">
        <v>9591.2000000000007</v>
      </c>
      <c r="N48" s="8">
        <v>209370.5</v>
      </c>
      <c r="O48" s="8">
        <v>16613.3</v>
      </c>
      <c r="P48" s="8">
        <v>20529.099999999999</v>
      </c>
      <c r="Q48" s="8">
        <v>6678.3</v>
      </c>
      <c r="R48" s="8">
        <v>9828</v>
      </c>
      <c r="S48" s="8">
        <v>316.89999999999998</v>
      </c>
      <c r="T48" s="8">
        <v>4522.8</v>
      </c>
      <c r="U48" s="8">
        <v>4364.5</v>
      </c>
      <c r="V48" s="8">
        <v>10746.1</v>
      </c>
      <c r="W48" s="9">
        <v>38655.5</v>
      </c>
      <c r="X48" s="9">
        <v>393470</v>
      </c>
      <c r="Y48" s="8">
        <f t="shared" si="0"/>
        <v>1925503.8</v>
      </c>
      <c r="Z48" s="8">
        <f t="shared" si="1"/>
        <v>1070595</v>
      </c>
      <c r="AA48" s="9">
        <v>374436.3</v>
      </c>
      <c r="AB48" s="9">
        <v>34650</v>
      </c>
      <c r="AC48" s="9">
        <v>318132.5</v>
      </c>
      <c r="AD48" s="9">
        <v>118980.6</v>
      </c>
      <c r="AE48" s="9">
        <v>224395.6</v>
      </c>
      <c r="AF48">
        <f t="shared" si="2"/>
        <v>854908.8</v>
      </c>
      <c r="AG48" s="9">
        <v>530066.1</v>
      </c>
      <c r="AH48" s="9">
        <v>300981.90000000002</v>
      </c>
      <c r="AI48" s="9">
        <v>23860.799999999999</v>
      </c>
      <c r="AJ48" s="9">
        <v>4013136.8</v>
      </c>
      <c r="AK48" s="9">
        <v>64443.9</v>
      </c>
      <c r="AL48">
        <v>164487.20000000001</v>
      </c>
      <c r="AM48" s="9">
        <v>4242068</v>
      </c>
      <c r="AN48" s="8">
        <f t="shared" si="3"/>
        <v>3148123.6</v>
      </c>
    </row>
    <row r="49" spans="1:40" x14ac:dyDescent="0.25">
      <c r="A49" s="1">
        <f t="shared" si="4"/>
        <v>40969</v>
      </c>
      <c r="B49" s="8">
        <v>353078.4</v>
      </c>
      <c r="C49" s="8">
        <v>-101839.8</v>
      </c>
      <c r="D49" s="8">
        <v>1249641.5</v>
      </c>
      <c r="E49" s="8">
        <v>1244439.5</v>
      </c>
      <c r="F49" s="8">
        <v>5202</v>
      </c>
      <c r="G49" s="8">
        <v>382051.9</v>
      </c>
      <c r="H49" s="8">
        <v>164260.30000000002</v>
      </c>
      <c r="I49" s="8">
        <v>107557.50000000001</v>
      </c>
      <c r="J49" s="8">
        <v>56702.8</v>
      </c>
      <c r="K49" s="8">
        <v>22259.3</v>
      </c>
      <c r="L49" s="8">
        <v>2300.3000000000002</v>
      </c>
      <c r="M49" s="8">
        <v>9800.5</v>
      </c>
      <c r="N49" s="8">
        <v>217791.6</v>
      </c>
      <c r="O49" s="8">
        <v>16860.3</v>
      </c>
      <c r="P49" s="8">
        <v>21293.200000000001</v>
      </c>
      <c r="Q49" s="8">
        <v>6492.9</v>
      </c>
      <c r="R49" s="8">
        <v>9583.7999999999993</v>
      </c>
      <c r="S49" s="8">
        <v>369.9</v>
      </c>
      <c r="T49" s="8">
        <v>4583.8999999999996</v>
      </c>
      <c r="U49" s="8">
        <v>4142.2</v>
      </c>
      <c r="V49" s="8">
        <v>9871.1</v>
      </c>
      <c r="W49" s="9">
        <v>41244.6</v>
      </c>
      <c r="X49" s="9">
        <v>349889.4</v>
      </c>
      <c r="Y49" s="8">
        <f t="shared" si="0"/>
        <v>1928831.5</v>
      </c>
      <c r="Z49" s="8">
        <f t="shared" si="1"/>
        <v>1200689.8</v>
      </c>
      <c r="AA49" s="9">
        <v>393121.3</v>
      </c>
      <c r="AB49" s="9">
        <v>32718.7</v>
      </c>
      <c r="AC49" s="9">
        <v>413027</v>
      </c>
      <c r="AD49" s="9">
        <v>129902.7</v>
      </c>
      <c r="AE49" s="9">
        <v>231920.1</v>
      </c>
      <c r="AF49">
        <f t="shared" si="2"/>
        <v>728141.7</v>
      </c>
      <c r="AG49" s="9">
        <v>444457.6</v>
      </c>
      <c r="AH49" s="9">
        <v>259022.1</v>
      </c>
      <c r="AI49" s="9">
        <v>24662</v>
      </c>
      <c r="AJ49" s="9">
        <v>4202897.8</v>
      </c>
      <c r="AK49" s="9">
        <v>70921.399999999994</v>
      </c>
      <c r="AL49">
        <v>181902.3</v>
      </c>
      <c r="AM49" s="9">
        <v>4455721.5</v>
      </c>
      <c r="AN49" s="8">
        <f t="shared" si="3"/>
        <v>3206080</v>
      </c>
    </row>
    <row r="50" spans="1:40" x14ac:dyDescent="0.25">
      <c r="A50" s="1">
        <f t="shared" si="4"/>
        <v>41061</v>
      </c>
      <c r="B50" s="8">
        <v>375326.5</v>
      </c>
      <c r="C50" s="8">
        <v>-101912.7</v>
      </c>
      <c r="D50" s="8">
        <v>1040944</v>
      </c>
      <c r="E50" s="8">
        <v>1035747.4</v>
      </c>
      <c r="F50" s="8">
        <v>5196.7</v>
      </c>
      <c r="G50" s="8">
        <v>386827.4</v>
      </c>
      <c r="H50" s="8">
        <v>165862.10000000003</v>
      </c>
      <c r="I50" s="8">
        <v>109111.90000000004</v>
      </c>
      <c r="J50" s="8">
        <v>56750.2</v>
      </c>
      <c r="K50" s="8">
        <v>22429</v>
      </c>
      <c r="L50" s="8">
        <v>2323.1999999999998</v>
      </c>
      <c r="M50" s="8">
        <v>10050.1</v>
      </c>
      <c r="N50" s="8">
        <v>220965.3</v>
      </c>
      <c r="O50" s="8">
        <v>17047.8</v>
      </c>
      <c r="P50" s="8">
        <v>21738.3</v>
      </c>
      <c r="Q50" s="8">
        <v>6269.9</v>
      </c>
      <c r="R50" s="8">
        <v>9792.7000000000007</v>
      </c>
      <c r="S50" s="8">
        <v>361.8</v>
      </c>
      <c r="T50" s="8">
        <v>4862.3</v>
      </c>
      <c r="U50" s="8">
        <v>4199.7</v>
      </c>
      <c r="V50" s="8">
        <v>10037</v>
      </c>
      <c r="W50" s="9">
        <v>42741.9</v>
      </c>
      <c r="X50" s="9">
        <v>331284.59999999998</v>
      </c>
      <c r="Y50" s="8">
        <f t="shared" si="0"/>
        <v>2123165.9</v>
      </c>
      <c r="Z50" s="8">
        <f t="shared" si="1"/>
        <v>1238574</v>
      </c>
      <c r="AA50" s="9">
        <v>402787.9</v>
      </c>
      <c r="AB50" s="9">
        <v>35904.800000000003</v>
      </c>
      <c r="AC50" s="9">
        <v>425402</v>
      </c>
      <c r="AD50" s="9">
        <v>130605.2</v>
      </c>
      <c r="AE50" s="9">
        <v>243874.1</v>
      </c>
      <c r="AF50">
        <f t="shared" si="2"/>
        <v>884591.9</v>
      </c>
      <c r="AG50" s="9">
        <v>546973</v>
      </c>
      <c r="AH50" s="9">
        <v>311455.8</v>
      </c>
      <c r="AI50" s="9">
        <v>26163.1</v>
      </c>
      <c r="AJ50" s="9">
        <v>4198377.5</v>
      </c>
      <c r="AK50" s="9">
        <v>86577.3</v>
      </c>
      <c r="AL50">
        <v>177064.8</v>
      </c>
      <c r="AM50" s="9">
        <v>4462019.5999999996</v>
      </c>
      <c r="AN50" s="8">
        <f t="shared" si="3"/>
        <v>3421075.5999999996</v>
      </c>
    </row>
    <row r="51" spans="1:40" x14ac:dyDescent="0.25">
      <c r="A51" s="1">
        <f t="shared" si="4"/>
        <v>41153</v>
      </c>
      <c r="B51" s="8">
        <v>324424.40000000002</v>
      </c>
      <c r="C51" s="8">
        <v>-98659.4</v>
      </c>
      <c r="D51" s="8">
        <v>1094897.7</v>
      </c>
      <c r="E51" s="8">
        <v>1090186.3</v>
      </c>
      <c r="F51" s="8">
        <v>4711.3999999999996</v>
      </c>
      <c r="G51" s="8">
        <v>357544.2</v>
      </c>
      <c r="H51" s="8">
        <v>167316.30000000002</v>
      </c>
      <c r="I51" s="8">
        <v>109144.10000000002</v>
      </c>
      <c r="J51" s="8">
        <v>58172.2</v>
      </c>
      <c r="K51" s="8">
        <v>22945.1</v>
      </c>
      <c r="L51" s="8">
        <v>2387.6999999999998</v>
      </c>
      <c r="M51" s="8">
        <v>10333.6</v>
      </c>
      <c r="N51" s="8">
        <v>190227.9</v>
      </c>
      <c r="O51" s="8">
        <v>17212.8</v>
      </c>
      <c r="P51" s="8">
        <v>21891.4</v>
      </c>
      <c r="Q51" s="8">
        <v>6061.8</v>
      </c>
      <c r="R51" s="8">
        <v>9683</v>
      </c>
      <c r="S51" s="8">
        <v>288.89999999999998</v>
      </c>
      <c r="T51" s="8">
        <v>4630.8999999999996</v>
      </c>
      <c r="U51" s="8">
        <v>3996.8</v>
      </c>
      <c r="V51" s="8">
        <v>9712.1</v>
      </c>
      <c r="W51" s="9">
        <v>43810.3</v>
      </c>
      <c r="X51" s="9">
        <v>364786.1</v>
      </c>
      <c r="Y51" s="8">
        <f t="shared" si="0"/>
        <v>1805278.6</v>
      </c>
      <c r="Z51" s="8">
        <f t="shared" si="1"/>
        <v>1227876.6000000001</v>
      </c>
      <c r="AA51" s="9">
        <v>424471.3</v>
      </c>
      <c r="AB51" s="9">
        <v>40321.4</v>
      </c>
      <c r="AC51" s="9">
        <v>399628.2</v>
      </c>
      <c r="AD51" s="9">
        <v>127189.9</v>
      </c>
      <c r="AE51" s="9">
        <v>236265.8</v>
      </c>
      <c r="AF51">
        <f t="shared" si="2"/>
        <v>577402</v>
      </c>
      <c r="AG51" s="9">
        <v>343703</v>
      </c>
      <c r="AH51" s="9">
        <v>208421.5</v>
      </c>
      <c r="AI51" s="9">
        <v>25277.5</v>
      </c>
      <c r="AJ51" s="9">
        <v>3892082.1</v>
      </c>
      <c r="AK51" s="9">
        <v>62053.3</v>
      </c>
      <c r="AL51">
        <v>130713.9</v>
      </c>
      <c r="AM51" s="9">
        <v>4084849.3</v>
      </c>
      <c r="AN51" s="8">
        <f t="shared" si="3"/>
        <v>2989951.5999999996</v>
      </c>
    </row>
    <row r="52" spans="1:40" x14ac:dyDescent="0.25">
      <c r="A52" s="1">
        <f t="shared" si="4"/>
        <v>41244</v>
      </c>
      <c r="B52" s="8">
        <v>360865.7</v>
      </c>
      <c r="C52" s="8">
        <v>-92862.2</v>
      </c>
      <c r="D52" s="8">
        <v>1078462.7</v>
      </c>
      <c r="E52" s="8">
        <v>1072881.8</v>
      </c>
      <c r="F52" s="8">
        <v>5580.9</v>
      </c>
      <c r="G52" s="8">
        <v>380963.5</v>
      </c>
      <c r="H52" s="8">
        <v>173512.4</v>
      </c>
      <c r="I52" s="8">
        <v>114487.59999999999</v>
      </c>
      <c r="J52" s="8">
        <v>59024.800000000003</v>
      </c>
      <c r="K52" s="8">
        <v>23322.6</v>
      </c>
      <c r="L52" s="8">
        <v>2507.6999999999998</v>
      </c>
      <c r="M52" s="8">
        <v>10656.7</v>
      </c>
      <c r="N52" s="8">
        <v>207451.1</v>
      </c>
      <c r="O52" s="8">
        <v>17309.099999999999</v>
      </c>
      <c r="P52" s="8">
        <v>21900.1</v>
      </c>
      <c r="Q52" s="8">
        <v>7161.4</v>
      </c>
      <c r="R52" s="8">
        <v>10831.5</v>
      </c>
      <c r="S52" s="8">
        <v>311.5</v>
      </c>
      <c r="T52" s="8">
        <v>5002.8999999999996</v>
      </c>
      <c r="U52" s="8">
        <v>4150.3</v>
      </c>
      <c r="V52" s="8">
        <v>11333.8</v>
      </c>
      <c r="W52" s="9">
        <v>44299.199999999997</v>
      </c>
      <c r="X52" s="9">
        <v>418041.8</v>
      </c>
      <c r="Y52" s="8">
        <f t="shared" si="0"/>
        <v>2052451.1</v>
      </c>
      <c r="Z52" s="8">
        <f t="shared" si="1"/>
        <v>1220845.7</v>
      </c>
      <c r="AA52" s="9">
        <v>443376.5</v>
      </c>
      <c r="AB52" s="9">
        <v>44676.1</v>
      </c>
      <c r="AC52" s="9">
        <v>367333.8</v>
      </c>
      <c r="AD52" s="9">
        <v>120598.2</v>
      </c>
      <c r="AE52" s="9">
        <v>244861.1</v>
      </c>
      <c r="AF52">
        <f t="shared" si="2"/>
        <v>831605.4</v>
      </c>
      <c r="AG52" s="9">
        <v>512359.4</v>
      </c>
      <c r="AH52" s="9">
        <v>292763.59999999998</v>
      </c>
      <c r="AI52" s="9">
        <v>26482.400000000001</v>
      </c>
      <c r="AJ52" s="9">
        <v>4242221.7</v>
      </c>
      <c r="AK52" s="9">
        <v>118771.9</v>
      </c>
      <c r="AL52">
        <v>248226</v>
      </c>
      <c r="AM52" s="9">
        <v>4609219.7</v>
      </c>
      <c r="AN52" s="8">
        <f t="shared" si="3"/>
        <v>3530757</v>
      </c>
    </row>
    <row r="53" spans="1:40" x14ac:dyDescent="0.25">
      <c r="A53" s="1">
        <f t="shared" si="4"/>
        <v>41334</v>
      </c>
      <c r="B53" s="8">
        <v>433115.4</v>
      </c>
      <c r="C53" s="8">
        <v>-102961.2</v>
      </c>
      <c r="D53" s="8">
        <v>1089711</v>
      </c>
      <c r="E53" s="8">
        <v>1084089.1000000001</v>
      </c>
      <c r="F53" s="8">
        <v>5621.8</v>
      </c>
      <c r="G53" s="8">
        <v>307257.7</v>
      </c>
      <c r="H53" s="8">
        <v>170919.2</v>
      </c>
      <c r="I53" s="8">
        <v>112247.1</v>
      </c>
      <c r="J53" s="8">
        <v>58672.1</v>
      </c>
      <c r="K53" s="8">
        <v>23962.5</v>
      </c>
      <c r="L53" s="8">
        <v>2665.9</v>
      </c>
      <c r="M53" s="8">
        <v>11015.3</v>
      </c>
      <c r="N53" s="8">
        <v>136338.5</v>
      </c>
      <c r="O53" s="8">
        <v>17327.8</v>
      </c>
      <c r="P53" s="8">
        <v>21623.5</v>
      </c>
      <c r="Q53" s="8">
        <v>6482.4</v>
      </c>
      <c r="R53" s="8">
        <v>9935.1</v>
      </c>
      <c r="S53" s="8">
        <v>372.5</v>
      </c>
      <c r="T53" s="8">
        <v>4721.5</v>
      </c>
      <c r="U53" s="8">
        <v>3999.4</v>
      </c>
      <c r="V53" s="8">
        <v>10141.1</v>
      </c>
      <c r="W53" s="9">
        <v>45624.4</v>
      </c>
      <c r="X53" s="9">
        <v>429751.3</v>
      </c>
      <c r="Y53" s="8">
        <f t="shared" si="0"/>
        <v>2083702.7000000002</v>
      </c>
      <c r="Z53" s="8">
        <f t="shared" si="1"/>
        <v>1393031.2000000002</v>
      </c>
      <c r="AA53" s="9">
        <v>460624.5</v>
      </c>
      <c r="AB53" s="9">
        <v>40788.699999999997</v>
      </c>
      <c r="AC53" s="9">
        <v>513017.9</v>
      </c>
      <c r="AD53" s="9">
        <v>133018.29999999999</v>
      </c>
      <c r="AE53" s="9">
        <v>245581.8</v>
      </c>
      <c r="AF53">
        <f t="shared" si="2"/>
        <v>690671.5</v>
      </c>
      <c r="AG53" s="9">
        <v>419296.9</v>
      </c>
      <c r="AH53" s="9">
        <v>243930.3</v>
      </c>
      <c r="AI53" s="9">
        <v>27444.3</v>
      </c>
      <c r="AJ53" s="9">
        <v>4286201</v>
      </c>
      <c r="AK53" s="9">
        <v>106490.6</v>
      </c>
      <c r="AL53">
        <v>207330.8</v>
      </c>
      <c r="AM53" s="9">
        <v>4600022.4000000004</v>
      </c>
      <c r="AN53" s="8">
        <f t="shared" si="3"/>
        <v>3510311.4000000004</v>
      </c>
    </row>
    <row r="54" spans="1:40" x14ac:dyDescent="0.25">
      <c r="A54" s="1">
        <f t="shared" si="4"/>
        <v>41426</v>
      </c>
      <c r="B54" s="8">
        <v>430232.3</v>
      </c>
      <c r="C54" s="8">
        <v>-95190.5</v>
      </c>
      <c r="D54" s="8">
        <v>889369.2</v>
      </c>
      <c r="E54" s="8">
        <v>883748.7</v>
      </c>
      <c r="F54" s="8">
        <v>5620.5</v>
      </c>
      <c r="G54" s="8">
        <v>325210</v>
      </c>
      <c r="H54" s="8">
        <v>176318.1</v>
      </c>
      <c r="I54" s="8">
        <v>116749.90000000001</v>
      </c>
      <c r="J54" s="8">
        <v>59568.2</v>
      </c>
      <c r="K54" s="8">
        <v>24384.400000000001</v>
      </c>
      <c r="L54" s="8">
        <v>2834.7</v>
      </c>
      <c r="M54" s="8">
        <v>11427.5</v>
      </c>
      <c r="N54" s="8">
        <v>148891.9</v>
      </c>
      <c r="O54" s="8">
        <v>17892.400000000001</v>
      </c>
      <c r="P54" s="8">
        <v>21920.9</v>
      </c>
      <c r="Q54" s="8">
        <v>6775.7</v>
      </c>
      <c r="R54" s="8">
        <v>10883.4</v>
      </c>
      <c r="S54" s="8">
        <v>369.3</v>
      </c>
      <c r="T54" s="8">
        <v>4907.8999999999996</v>
      </c>
      <c r="U54" s="8">
        <v>4122</v>
      </c>
      <c r="V54" s="8">
        <v>11231.5</v>
      </c>
      <c r="W54" s="9">
        <v>46241.8</v>
      </c>
      <c r="X54" s="9">
        <v>446467.5</v>
      </c>
      <c r="Y54" s="8">
        <f t="shared" si="0"/>
        <v>2100235.1</v>
      </c>
      <c r="Z54" s="8">
        <f t="shared" si="1"/>
        <v>1418718.7</v>
      </c>
      <c r="AA54" s="9">
        <v>471385.8</v>
      </c>
      <c r="AB54" s="9">
        <v>43459.3</v>
      </c>
      <c r="AC54" s="9">
        <v>529633.19999999995</v>
      </c>
      <c r="AD54" s="9">
        <v>123958.2</v>
      </c>
      <c r="AE54" s="9">
        <v>250282.2</v>
      </c>
      <c r="AF54">
        <f t="shared" si="2"/>
        <v>681516.4</v>
      </c>
      <c r="AG54" s="9">
        <v>413340.1</v>
      </c>
      <c r="AH54" s="9">
        <v>239877.2</v>
      </c>
      <c r="AI54" s="9">
        <v>28299.1</v>
      </c>
      <c r="AJ54" s="9">
        <v>4142565.2</v>
      </c>
      <c r="AK54" s="9">
        <v>99276.800000000003</v>
      </c>
      <c r="AL54">
        <v>193881.9</v>
      </c>
      <c r="AM54" s="9">
        <v>4435724</v>
      </c>
      <c r="AN54" s="8">
        <f t="shared" si="3"/>
        <v>3546354.8</v>
      </c>
    </row>
    <row r="55" spans="1:40" x14ac:dyDescent="0.25">
      <c r="A55" s="1">
        <f t="shared" si="4"/>
        <v>41518</v>
      </c>
      <c r="B55" s="8">
        <v>381147.1</v>
      </c>
      <c r="C55" s="8">
        <v>-109131.1</v>
      </c>
      <c r="D55" s="8">
        <v>826625.8</v>
      </c>
      <c r="E55" s="8">
        <v>820804.8</v>
      </c>
      <c r="F55" s="8">
        <v>5821</v>
      </c>
      <c r="G55" s="8">
        <v>396408.2</v>
      </c>
      <c r="H55" s="8">
        <v>180057.1</v>
      </c>
      <c r="I55" s="8">
        <v>117978.3</v>
      </c>
      <c r="J55" s="8">
        <v>62078.8</v>
      </c>
      <c r="K55" s="8">
        <v>24654</v>
      </c>
      <c r="L55" s="8">
        <v>3010.5</v>
      </c>
      <c r="M55" s="8">
        <v>11899.8</v>
      </c>
      <c r="N55" s="8">
        <v>216351.1</v>
      </c>
      <c r="O55" s="8">
        <v>19061.099999999999</v>
      </c>
      <c r="P55" s="8">
        <v>22697.5</v>
      </c>
      <c r="Q55" s="8">
        <v>6648.7</v>
      </c>
      <c r="R55" s="8">
        <v>10391</v>
      </c>
      <c r="S55" s="8">
        <v>298</v>
      </c>
      <c r="T55" s="8">
        <v>4648.2</v>
      </c>
      <c r="U55" s="8">
        <v>4083.9</v>
      </c>
      <c r="V55" s="8">
        <v>10585.6</v>
      </c>
      <c r="W55" s="9">
        <v>47938.6</v>
      </c>
      <c r="X55" s="9">
        <v>466390.4</v>
      </c>
      <c r="Y55" s="8">
        <f t="shared" si="0"/>
        <v>2159462.7000000002</v>
      </c>
      <c r="Z55" s="8">
        <f t="shared" si="1"/>
        <v>1443664</v>
      </c>
      <c r="AA55" s="9">
        <v>478122.1</v>
      </c>
      <c r="AB55" s="9">
        <v>50374</v>
      </c>
      <c r="AC55" s="9">
        <v>516014.4</v>
      </c>
      <c r="AD55" s="9">
        <v>141044.1</v>
      </c>
      <c r="AE55" s="9">
        <v>258109.4</v>
      </c>
      <c r="AF55">
        <f t="shared" si="2"/>
        <v>715798.7</v>
      </c>
      <c r="AG55" s="9">
        <v>436090.3</v>
      </c>
      <c r="AH55" s="9">
        <v>251061.2</v>
      </c>
      <c r="AI55" s="9">
        <v>28647.200000000001</v>
      </c>
      <c r="AJ55" s="9">
        <v>4168841.8</v>
      </c>
      <c r="AK55" s="9">
        <v>89164</v>
      </c>
      <c r="AL55">
        <v>182288</v>
      </c>
      <c r="AM55" s="9">
        <v>4440293.7</v>
      </c>
      <c r="AN55" s="8">
        <f t="shared" si="3"/>
        <v>3613667.9000000004</v>
      </c>
    </row>
    <row r="56" spans="1:40" x14ac:dyDescent="0.25">
      <c r="A56" s="1">
        <f t="shared" si="4"/>
        <v>41609</v>
      </c>
      <c r="B56" s="8">
        <v>418189.3</v>
      </c>
      <c r="C56" s="8">
        <v>-94856.2</v>
      </c>
      <c r="D56" s="8">
        <v>1004680</v>
      </c>
      <c r="E56" s="8">
        <v>998937.4</v>
      </c>
      <c r="F56" s="8">
        <v>5742.6</v>
      </c>
      <c r="G56" s="8">
        <v>433287.1</v>
      </c>
      <c r="H56" s="8">
        <v>192342.69999999998</v>
      </c>
      <c r="I56" s="8">
        <v>125402.89999999998</v>
      </c>
      <c r="J56" s="8">
        <v>66939.8</v>
      </c>
      <c r="K56" s="8">
        <v>24798</v>
      </c>
      <c r="L56" s="8">
        <v>3200.8</v>
      </c>
      <c r="M56" s="8">
        <v>12421.3</v>
      </c>
      <c r="N56" s="8">
        <v>240944.4</v>
      </c>
      <c r="O56" s="8">
        <v>20746.8</v>
      </c>
      <c r="P56" s="8">
        <v>23631.1</v>
      </c>
      <c r="Q56" s="8">
        <v>7603.2</v>
      </c>
      <c r="R56" s="8">
        <v>10918.5</v>
      </c>
      <c r="S56" s="8">
        <v>319.10000000000002</v>
      </c>
      <c r="T56" s="8">
        <v>5556.5</v>
      </c>
      <c r="U56" s="8">
        <v>4565.7</v>
      </c>
      <c r="V56" s="8">
        <v>11641.8</v>
      </c>
      <c r="W56" s="9">
        <v>49713.2</v>
      </c>
      <c r="X56" s="9">
        <v>441039.8</v>
      </c>
      <c r="Y56" s="8">
        <f t="shared" si="0"/>
        <v>2187514.6999999997</v>
      </c>
      <c r="Z56" s="8">
        <f t="shared" si="1"/>
        <v>1387897.1999999997</v>
      </c>
      <c r="AA56" s="9">
        <v>492610.6</v>
      </c>
      <c r="AB56" s="9">
        <v>48893</v>
      </c>
      <c r="AC56" s="9">
        <v>455833.59999999998</v>
      </c>
      <c r="AD56" s="9">
        <v>124201.4</v>
      </c>
      <c r="AE56" s="9">
        <v>266358.59999999998</v>
      </c>
      <c r="AF56">
        <f t="shared" si="2"/>
        <v>799617.5</v>
      </c>
      <c r="AG56" s="9">
        <v>491777.8</v>
      </c>
      <c r="AH56" s="9">
        <v>279622.3</v>
      </c>
      <c r="AI56" s="9">
        <v>28217.4</v>
      </c>
      <c r="AJ56" s="9">
        <v>4439568.0999999996</v>
      </c>
      <c r="AK56" s="9">
        <v>110439.5</v>
      </c>
      <c r="AL56">
        <v>204987.3</v>
      </c>
      <c r="AM56" s="9">
        <v>4754994.9000000004</v>
      </c>
      <c r="AN56" s="8">
        <f t="shared" si="3"/>
        <v>3750314.9000000004</v>
      </c>
    </row>
    <row r="57" spans="1:40" x14ac:dyDescent="0.25">
      <c r="A57" s="1">
        <f t="shared" si="4"/>
        <v>41699</v>
      </c>
      <c r="B57" s="8">
        <v>474552.1</v>
      </c>
      <c r="C57" s="8">
        <v>-100289.9</v>
      </c>
      <c r="D57" s="8">
        <v>820508.4</v>
      </c>
      <c r="E57" s="8">
        <v>814800</v>
      </c>
      <c r="F57" s="8">
        <v>5708.4</v>
      </c>
      <c r="G57" s="8">
        <v>455146.2</v>
      </c>
      <c r="H57" s="8">
        <v>201056.7</v>
      </c>
      <c r="I57" s="8">
        <v>129646.40000000001</v>
      </c>
      <c r="J57" s="8">
        <v>71410.3</v>
      </c>
      <c r="K57" s="8">
        <v>24585.200000000001</v>
      </c>
      <c r="L57" s="8">
        <v>3345</v>
      </c>
      <c r="M57" s="8">
        <v>13030</v>
      </c>
      <c r="N57" s="8">
        <v>254089.5</v>
      </c>
      <c r="O57" s="8">
        <v>23006.6</v>
      </c>
      <c r="P57" s="8">
        <v>25036.1</v>
      </c>
      <c r="Q57" s="8">
        <v>7812.7</v>
      </c>
      <c r="R57" s="8">
        <v>10816.9</v>
      </c>
      <c r="S57" s="8">
        <v>371.9</v>
      </c>
      <c r="T57" s="8">
        <v>5817.1</v>
      </c>
      <c r="U57" s="8">
        <v>4795.5</v>
      </c>
      <c r="V57" s="8">
        <v>11029.2</v>
      </c>
      <c r="W57" s="9">
        <v>49624.4</v>
      </c>
      <c r="X57" s="9">
        <v>504651.5</v>
      </c>
      <c r="Y57" s="8">
        <f t="shared" si="0"/>
        <v>2275110</v>
      </c>
      <c r="Z57" s="8">
        <f t="shared" si="1"/>
        <v>1533968.7999999998</v>
      </c>
      <c r="AA57" s="9">
        <v>498761.5</v>
      </c>
      <c r="AB57" s="9">
        <v>50192.1</v>
      </c>
      <c r="AC57" s="9">
        <v>573359.9</v>
      </c>
      <c r="AD57" s="9">
        <v>131094.9</v>
      </c>
      <c r="AE57" s="9">
        <v>280560.40000000002</v>
      </c>
      <c r="AF57">
        <f t="shared" si="2"/>
        <v>741141.20000000007</v>
      </c>
      <c r="AG57" s="9">
        <v>451764.4</v>
      </c>
      <c r="AH57" s="9">
        <v>260484.5</v>
      </c>
      <c r="AI57" s="9">
        <v>28892.3</v>
      </c>
      <c r="AJ57" s="9">
        <v>4479302.7</v>
      </c>
      <c r="AK57" s="9">
        <v>94273.9</v>
      </c>
      <c r="AL57">
        <v>212799.1</v>
      </c>
      <c r="AM57" s="9">
        <v>4786375.7</v>
      </c>
      <c r="AN57" s="8">
        <f t="shared" si="3"/>
        <v>3965867.3000000003</v>
      </c>
    </row>
    <row r="58" spans="1:40" x14ac:dyDescent="0.25">
      <c r="A58" s="1">
        <f t="shared" si="4"/>
        <v>41791</v>
      </c>
      <c r="B58" s="8">
        <v>480259.9</v>
      </c>
      <c r="C58" s="8">
        <v>-105249.4</v>
      </c>
      <c r="D58" s="8">
        <v>879491.8</v>
      </c>
      <c r="E58" s="8">
        <v>873512.7</v>
      </c>
      <c r="F58" s="8">
        <v>5979.1</v>
      </c>
      <c r="G58" s="8">
        <v>514466.8</v>
      </c>
      <c r="H58" s="8">
        <v>209530.8</v>
      </c>
      <c r="I58" s="8">
        <v>134245.29999999999</v>
      </c>
      <c r="J58" s="8">
        <v>75285.5</v>
      </c>
      <c r="K58" s="8">
        <v>24530</v>
      </c>
      <c r="L58" s="8">
        <v>3423.9</v>
      </c>
      <c r="M58" s="8">
        <v>13531.8</v>
      </c>
      <c r="N58" s="8">
        <v>304936</v>
      </c>
      <c r="O58" s="8">
        <v>24251</v>
      </c>
      <c r="P58" s="8">
        <v>25825.200000000001</v>
      </c>
      <c r="Q58" s="8">
        <v>8573.2999999999993</v>
      </c>
      <c r="R58" s="8">
        <v>11188.9</v>
      </c>
      <c r="S58" s="8">
        <v>393.7</v>
      </c>
      <c r="T58" s="8">
        <v>6167.6</v>
      </c>
      <c r="U58" s="8">
        <v>4963.3</v>
      </c>
      <c r="V58" s="8">
        <v>11396.7</v>
      </c>
      <c r="W58" s="9">
        <v>51433.7</v>
      </c>
      <c r="X58" s="9">
        <v>514725.7</v>
      </c>
      <c r="Y58" s="8">
        <f t="shared" si="0"/>
        <v>2189128.7999999998</v>
      </c>
      <c r="Z58" s="8">
        <f t="shared" si="1"/>
        <v>1548185.5</v>
      </c>
      <c r="AA58" s="9">
        <v>521016.2</v>
      </c>
      <c r="AB58" s="9">
        <v>47230</v>
      </c>
      <c r="AC58" s="9">
        <v>554454.6</v>
      </c>
      <c r="AD58" s="9">
        <v>137173.79999999999</v>
      </c>
      <c r="AE58" s="9">
        <v>288310.90000000002</v>
      </c>
      <c r="AF58">
        <f t="shared" si="2"/>
        <v>640943.30000000005</v>
      </c>
      <c r="AG58" s="9">
        <v>384703.4</v>
      </c>
      <c r="AH58" s="9">
        <v>227261.2</v>
      </c>
      <c r="AI58" s="9">
        <v>28978.7</v>
      </c>
      <c r="AJ58" s="9">
        <v>4524257.4000000004</v>
      </c>
      <c r="AK58" s="9">
        <v>92038.3</v>
      </c>
      <c r="AL58">
        <v>201614.7</v>
      </c>
      <c r="AM58" s="9">
        <v>4817910.4000000004</v>
      </c>
      <c r="AN58" s="8">
        <f t="shared" si="3"/>
        <v>3938418.6000000006</v>
      </c>
    </row>
    <row r="59" spans="1:40" x14ac:dyDescent="0.25">
      <c r="A59" s="1">
        <f t="shared" si="4"/>
        <v>41883</v>
      </c>
      <c r="B59" s="8">
        <v>403803.2</v>
      </c>
      <c r="C59" s="8">
        <v>-102568.6</v>
      </c>
      <c r="D59" s="8">
        <v>833996</v>
      </c>
      <c r="E59" s="8">
        <v>827901.9</v>
      </c>
      <c r="F59" s="8">
        <v>6094</v>
      </c>
      <c r="G59" s="8">
        <v>505123.2</v>
      </c>
      <c r="H59" s="8">
        <v>211318.7</v>
      </c>
      <c r="I59" s="8">
        <v>133436.40000000002</v>
      </c>
      <c r="J59" s="8">
        <v>77882.3</v>
      </c>
      <c r="K59" s="8">
        <v>24232.5</v>
      </c>
      <c r="L59" s="8">
        <v>3426.6</v>
      </c>
      <c r="M59" s="8">
        <v>13886.2</v>
      </c>
      <c r="N59" s="8">
        <v>293804.5</v>
      </c>
      <c r="O59" s="8">
        <v>24544.9</v>
      </c>
      <c r="P59" s="8">
        <v>25308.1</v>
      </c>
      <c r="Q59" s="8">
        <v>8814.6</v>
      </c>
      <c r="R59" s="8">
        <v>11082.4</v>
      </c>
      <c r="S59" s="8">
        <v>372.2</v>
      </c>
      <c r="T59" s="8">
        <v>5800.9</v>
      </c>
      <c r="U59" s="8">
        <v>4866.3</v>
      </c>
      <c r="V59" s="8">
        <v>11101.7</v>
      </c>
      <c r="W59" s="9">
        <v>52390.400000000001</v>
      </c>
      <c r="X59" s="9">
        <v>531091</v>
      </c>
      <c r="Y59" s="8">
        <f t="shared" si="0"/>
        <v>2294383.4999999995</v>
      </c>
      <c r="Z59" s="8">
        <f t="shared" si="1"/>
        <v>1546606.0999999996</v>
      </c>
      <c r="AA59" s="9">
        <v>538943.19999999995</v>
      </c>
      <c r="AB59" s="9">
        <v>45346.400000000001</v>
      </c>
      <c r="AC59" s="9">
        <v>533280.69999999995</v>
      </c>
      <c r="AD59" s="9">
        <v>133815.70000000001</v>
      </c>
      <c r="AE59" s="9">
        <v>295220.09999999998</v>
      </c>
      <c r="AF59">
        <f t="shared" si="2"/>
        <v>747777.4</v>
      </c>
      <c r="AG59" s="9">
        <v>454577.4</v>
      </c>
      <c r="AH59" s="9">
        <v>262908.90000000002</v>
      </c>
      <c r="AI59" s="9">
        <v>30291.1</v>
      </c>
      <c r="AJ59" s="9">
        <v>4518218.7</v>
      </c>
      <c r="AK59" s="9">
        <v>84672</v>
      </c>
      <c r="AL59">
        <v>205380.9</v>
      </c>
      <c r="AM59" s="9">
        <v>4808271.7</v>
      </c>
      <c r="AN59" s="8">
        <f t="shared" si="3"/>
        <v>3974275.7</v>
      </c>
    </row>
    <row r="60" spans="1:40" x14ac:dyDescent="0.25">
      <c r="A60" s="1">
        <f t="shared" si="4"/>
        <v>41974</v>
      </c>
      <c r="B60" s="8">
        <v>452600.8</v>
      </c>
      <c r="C60" s="8">
        <v>-95700.1</v>
      </c>
      <c r="D60" s="8">
        <v>700348.9</v>
      </c>
      <c r="E60" s="8">
        <v>694620.4</v>
      </c>
      <c r="F60" s="8">
        <v>5728.4</v>
      </c>
      <c r="G60" s="8">
        <v>427146.7</v>
      </c>
      <c r="H60" s="8">
        <v>214470.7</v>
      </c>
      <c r="I60" s="8">
        <v>134958.80000000002</v>
      </c>
      <c r="J60" s="8">
        <v>79511.899999999994</v>
      </c>
      <c r="K60" s="8">
        <v>24026.400000000001</v>
      </c>
      <c r="L60" s="8">
        <v>3345.5</v>
      </c>
      <c r="M60" s="8">
        <v>14156</v>
      </c>
      <c r="N60" s="8">
        <v>212676</v>
      </c>
      <c r="O60" s="8">
        <v>23810.5</v>
      </c>
      <c r="P60" s="8">
        <v>24116.5</v>
      </c>
      <c r="Q60" s="8">
        <v>9769.4</v>
      </c>
      <c r="R60" s="8">
        <v>11887.8</v>
      </c>
      <c r="S60" s="8">
        <v>377.2</v>
      </c>
      <c r="T60" s="8">
        <v>6234.3</v>
      </c>
      <c r="U60" s="8">
        <v>5034.8999999999996</v>
      </c>
      <c r="V60" s="8">
        <v>12200.4</v>
      </c>
      <c r="W60" s="9">
        <v>52845.5</v>
      </c>
      <c r="X60" s="9">
        <v>531533.9</v>
      </c>
      <c r="Y60" s="8">
        <f t="shared" si="0"/>
        <v>2464624.6</v>
      </c>
      <c r="Z60" s="8">
        <f t="shared" si="1"/>
        <v>1521075.6</v>
      </c>
      <c r="AA60" s="9">
        <v>556197.1</v>
      </c>
      <c r="AB60" s="9">
        <v>56426.6</v>
      </c>
      <c r="AC60" s="9">
        <v>484265.7</v>
      </c>
      <c r="AD60" s="9">
        <v>125174.6</v>
      </c>
      <c r="AE60" s="9">
        <v>299011.59999999998</v>
      </c>
      <c r="AF60">
        <f t="shared" si="2"/>
        <v>943549.00000000012</v>
      </c>
      <c r="AG60" s="9">
        <v>583897.80000000005</v>
      </c>
      <c r="AH60" s="9">
        <v>328227.3</v>
      </c>
      <c r="AI60" s="9">
        <v>31423.9</v>
      </c>
      <c r="AJ60" s="9">
        <v>4533400.0999999996</v>
      </c>
      <c r="AK60" s="9">
        <v>99064.8</v>
      </c>
      <c r="AL60">
        <v>208742.3</v>
      </c>
      <c r="AM60" s="9">
        <v>4841207.2</v>
      </c>
      <c r="AN60" s="8">
        <f t="shared" si="3"/>
        <v>4140858.3000000003</v>
      </c>
    </row>
    <row r="61" spans="1:40" x14ac:dyDescent="0.25">
      <c r="A61" s="1">
        <f t="shared" si="4"/>
        <v>42064</v>
      </c>
      <c r="B61" s="8">
        <v>522197.2</v>
      </c>
      <c r="C61" s="8">
        <v>-104284.3</v>
      </c>
      <c r="D61" s="8">
        <v>593490.5</v>
      </c>
      <c r="E61" s="8">
        <v>587684.19999999995</v>
      </c>
      <c r="F61" s="8">
        <v>5806.2</v>
      </c>
      <c r="G61" s="8">
        <v>313987.40000000002</v>
      </c>
      <c r="H61" s="8">
        <v>210447.2</v>
      </c>
      <c r="I61" s="8">
        <v>131409.20000000001</v>
      </c>
      <c r="J61" s="8">
        <v>79038</v>
      </c>
      <c r="K61" s="8">
        <v>24588.1</v>
      </c>
      <c r="L61" s="8">
        <v>3188.8</v>
      </c>
      <c r="M61" s="8">
        <v>14305.8</v>
      </c>
      <c r="N61" s="8">
        <v>103540.2</v>
      </c>
      <c r="O61" s="8">
        <v>22045.8</v>
      </c>
      <c r="P61" s="8">
        <v>22940.400000000001</v>
      </c>
      <c r="Q61" s="8">
        <v>9790.2000000000007</v>
      </c>
      <c r="R61" s="8">
        <v>11498.6</v>
      </c>
      <c r="S61" s="8">
        <v>444.5</v>
      </c>
      <c r="T61" s="8">
        <v>6076.5</v>
      </c>
      <c r="U61" s="8">
        <v>5055.6000000000004</v>
      </c>
      <c r="V61" s="8">
        <v>11474.9</v>
      </c>
      <c r="W61" s="9">
        <v>54200.1</v>
      </c>
      <c r="X61" s="9">
        <v>561274.1</v>
      </c>
      <c r="Y61" s="8">
        <f t="shared" si="0"/>
        <v>2407173.7999999998</v>
      </c>
      <c r="Z61" s="8">
        <f t="shared" si="1"/>
        <v>1657193.5</v>
      </c>
      <c r="AA61" s="9">
        <v>561127.4</v>
      </c>
      <c r="AB61" s="9">
        <v>55064</v>
      </c>
      <c r="AC61" s="9">
        <v>612668.6</v>
      </c>
      <c r="AD61" s="9">
        <v>134883.20000000001</v>
      </c>
      <c r="AE61" s="9">
        <v>293450.3</v>
      </c>
      <c r="AF61">
        <f t="shared" si="2"/>
        <v>749980.3</v>
      </c>
      <c r="AG61" s="9">
        <v>454873.9</v>
      </c>
      <c r="AH61" s="9">
        <v>262450.59999999998</v>
      </c>
      <c r="AI61" s="9">
        <v>32655.8</v>
      </c>
      <c r="AJ61" s="9">
        <v>4348038.9000000004</v>
      </c>
      <c r="AK61" s="9">
        <v>95198.5</v>
      </c>
      <c r="AL61">
        <v>229073.5</v>
      </c>
      <c r="AM61" s="9">
        <v>4672310.8</v>
      </c>
      <c r="AN61" s="8">
        <f t="shared" si="3"/>
        <v>4078820.3</v>
      </c>
    </row>
    <row r="62" spans="1:40" x14ac:dyDescent="0.25">
      <c r="A62" s="1">
        <f t="shared" si="4"/>
        <v>42156</v>
      </c>
      <c r="B62" s="8">
        <v>524553.6</v>
      </c>
      <c r="C62" s="8">
        <v>-107958.9</v>
      </c>
      <c r="D62" s="8">
        <v>648519.4</v>
      </c>
      <c r="E62" s="8">
        <v>642481.6</v>
      </c>
      <c r="F62" s="8">
        <v>6037.8</v>
      </c>
      <c r="G62" s="8">
        <v>368634.2</v>
      </c>
      <c r="H62" s="8">
        <v>211111.5</v>
      </c>
      <c r="I62" s="8">
        <v>130496.3</v>
      </c>
      <c r="J62" s="8">
        <v>80615.199999999997</v>
      </c>
      <c r="K62" s="8">
        <v>24682.5</v>
      </c>
      <c r="L62" s="8">
        <v>3102.8</v>
      </c>
      <c r="M62" s="8">
        <v>14344.4</v>
      </c>
      <c r="N62" s="8">
        <v>157522.70000000001</v>
      </c>
      <c r="O62" s="8">
        <v>20921.099999999999</v>
      </c>
      <c r="P62" s="8">
        <v>22022.2</v>
      </c>
      <c r="Q62" s="8">
        <v>9809.7999999999993</v>
      </c>
      <c r="R62" s="8">
        <v>12080.4</v>
      </c>
      <c r="S62" s="8">
        <v>476.3</v>
      </c>
      <c r="T62" s="8">
        <v>6023</v>
      </c>
      <c r="U62" s="8">
        <v>5019.1000000000004</v>
      </c>
      <c r="V62" s="8">
        <v>12014.8</v>
      </c>
      <c r="W62" s="9">
        <v>55778.8</v>
      </c>
      <c r="X62" s="9">
        <v>557621.1</v>
      </c>
      <c r="Y62" s="8">
        <f t="shared" si="0"/>
        <v>2313975.7000000002</v>
      </c>
      <c r="Z62" s="8">
        <f t="shared" si="1"/>
        <v>1667890.4</v>
      </c>
      <c r="AA62" s="9">
        <v>569302.80000000005</v>
      </c>
      <c r="AB62" s="9">
        <v>53518</v>
      </c>
      <c r="AC62" s="9">
        <v>613231.30000000005</v>
      </c>
      <c r="AD62" s="9">
        <v>139288.4</v>
      </c>
      <c r="AE62" s="9">
        <v>292549.90000000002</v>
      </c>
      <c r="AF62">
        <f t="shared" si="2"/>
        <v>646085.30000000005</v>
      </c>
      <c r="AG62" s="9">
        <v>385127.9</v>
      </c>
      <c r="AH62" s="9">
        <v>227125</v>
      </c>
      <c r="AI62" s="9">
        <v>33832.400000000001</v>
      </c>
      <c r="AJ62" s="9">
        <v>4361123.5999999996</v>
      </c>
      <c r="AK62" s="9">
        <v>111211</v>
      </c>
      <c r="AL62">
        <v>213661.2</v>
      </c>
      <c r="AM62" s="9">
        <v>4685995.9000000004</v>
      </c>
      <c r="AN62" s="8">
        <f t="shared" si="3"/>
        <v>4037476.5000000005</v>
      </c>
    </row>
    <row r="63" spans="1:40" x14ac:dyDescent="0.25">
      <c r="A63" s="1">
        <f t="shared" si="4"/>
        <v>42248</v>
      </c>
      <c r="B63" s="8">
        <v>448211</v>
      </c>
      <c r="C63" s="8">
        <v>-106510.9</v>
      </c>
      <c r="D63" s="8">
        <v>540941.30000000005</v>
      </c>
      <c r="E63" s="8">
        <v>535244.80000000005</v>
      </c>
      <c r="F63" s="8">
        <v>5696.5</v>
      </c>
      <c r="G63" s="8">
        <v>324794.09999999998</v>
      </c>
      <c r="H63" s="8">
        <v>208546.99999999997</v>
      </c>
      <c r="I63" s="8">
        <v>127013.49999999997</v>
      </c>
      <c r="J63" s="8">
        <v>81533.5</v>
      </c>
      <c r="K63" s="8">
        <v>24693.1</v>
      </c>
      <c r="L63" s="8">
        <v>3085.9</v>
      </c>
      <c r="M63" s="8">
        <v>14287</v>
      </c>
      <c r="N63" s="8">
        <v>116247.1</v>
      </c>
      <c r="O63" s="8">
        <v>20389.3</v>
      </c>
      <c r="P63" s="8">
        <v>21544.5</v>
      </c>
      <c r="Q63" s="8">
        <v>9682.7000000000007</v>
      </c>
      <c r="R63" s="8">
        <v>11422.3</v>
      </c>
      <c r="S63" s="8">
        <v>328.2</v>
      </c>
      <c r="T63" s="8">
        <v>5530.5</v>
      </c>
      <c r="U63" s="8">
        <v>4788.3999999999996</v>
      </c>
      <c r="V63" s="8">
        <v>11261.5</v>
      </c>
      <c r="W63" s="9">
        <v>57596.6</v>
      </c>
      <c r="X63" s="9">
        <v>587722.6</v>
      </c>
      <c r="Y63" s="8">
        <f t="shared" si="0"/>
        <v>2449363.7000000002</v>
      </c>
      <c r="Z63" s="8">
        <f t="shared" si="1"/>
        <v>1631866.5</v>
      </c>
      <c r="AA63" s="9">
        <v>570799.69999999995</v>
      </c>
      <c r="AB63" s="9">
        <v>48839.3</v>
      </c>
      <c r="AC63" s="9">
        <v>579570.5</v>
      </c>
      <c r="AD63" s="9">
        <v>138133.6</v>
      </c>
      <c r="AE63" s="9">
        <v>294523.40000000002</v>
      </c>
      <c r="AF63">
        <f t="shared" si="2"/>
        <v>817497.20000000007</v>
      </c>
      <c r="AG63" s="9">
        <v>497815.5</v>
      </c>
      <c r="AH63" s="9">
        <v>284552.90000000002</v>
      </c>
      <c r="AI63" s="9">
        <v>35128.800000000003</v>
      </c>
      <c r="AJ63" s="9">
        <v>4302118.5999999996</v>
      </c>
      <c r="AK63" s="9">
        <v>102509.3</v>
      </c>
      <c r="AL63">
        <v>214323.3</v>
      </c>
      <c r="AM63" s="9">
        <v>4618951.2</v>
      </c>
      <c r="AN63" s="8">
        <f t="shared" si="3"/>
        <v>4078009.9000000004</v>
      </c>
    </row>
    <row r="64" spans="1:40" x14ac:dyDescent="0.25">
      <c r="A64" s="1">
        <f t="shared" si="4"/>
        <v>42339</v>
      </c>
      <c r="B64" s="8">
        <v>493526.2</v>
      </c>
      <c r="C64" s="8">
        <v>-99827.9</v>
      </c>
      <c r="D64" s="8">
        <v>540729.9</v>
      </c>
      <c r="E64" s="8">
        <v>533625.4</v>
      </c>
      <c r="F64" s="8">
        <v>7104.5</v>
      </c>
      <c r="G64" s="8">
        <v>334886.2</v>
      </c>
      <c r="H64" s="8">
        <v>213345.30000000002</v>
      </c>
      <c r="I64" s="8">
        <v>130427.90000000002</v>
      </c>
      <c r="J64" s="8">
        <v>82917.399999999994</v>
      </c>
      <c r="K64" s="8">
        <v>24499.3</v>
      </c>
      <c r="L64" s="8">
        <v>3127.4</v>
      </c>
      <c r="M64" s="8">
        <v>14122.9</v>
      </c>
      <c r="N64" s="8">
        <v>121540.9</v>
      </c>
      <c r="O64" s="8">
        <v>20443.8</v>
      </c>
      <c r="P64" s="8">
        <v>21556.9</v>
      </c>
      <c r="Q64" s="8">
        <v>10802.3</v>
      </c>
      <c r="R64" s="8">
        <v>11898.7</v>
      </c>
      <c r="S64" s="8">
        <v>382</v>
      </c>
      <c r="T64" s="8">
        <v>6154</v>
      </c>
      <c r="U64" s="8">
        <v>5139.8999999999996</v>
      </c>
      <c r="V64" s="8">
        <v>12300.8</v>
      </c>
      <c r="W64" s="9">
        <v>58727.4</v>
      </c>
      <c r="X64" s="9">
        <v>585204.30000000005</v>
      </c>
      <c r="Y64" s="8">
        <f t="shared" si="0"/>
        <v>2667416.8999999994</v>
      </c>
      <c r="Z64" s="8">
        <f t="shared" si="1"/>
        <v>1595029.5999999996</v>
      </c>
      <c r="AA64" s="9">
        <v>589497.1</v>
      </c>
      <c r="AB64" s="9">
        <v>59860.6</v>
      </c>
      <c r="AC64" s="9">
        <v>510942.6</v>
      </c>
      <c r="AD64" s="9">
        <v>131283.9</v>
      </c>
      <c r="AE64" s="9">
        <v>303445.40000000002</v>
      </c>
      <c r="AF64">
        <f t="shared" si="2"/>
        <v>1072387.3</v>
      </c>
      <c r="AG64" s="9">
        <v>666516.69999999995</v>
      </c>
      <c r="AH64" s="9">
        <v>370780.5</v>
      </c>
      <c r="AI64" s="9">
        <v>35090.1</v>
      </c>
      <c r="AJ64" s="9">
        <v>4580662.9000000004</v>
      </c>
      <c r="AK64" s="9">
        <v>102375.2</v>
      </c>
      <c r="AL64">
        <v>218729</v>
      </c>
      <c r="AM64" s="9">
        <v>4901767.0999999996</v>
      </c>
      <c r="AN64" s="8">
        <f t="shared" si="3"/>
        <v>4361037.1999999993</v>
      </c>
    </row>
    <row r="65" spans="1:40" x14ac:dyDescent="0.25">
      <c r="A65" s="1">
        <f t="shared" si="4"/>
        <v>42430</v>
      </c>
      <c r="B65" s="8">
        <v>568759.5</v>
      </c>
      <c r="C65" s="8">
        <v>-112499.7</v>
      </c>
      <c r="D65" s="8">
        <v>447344.1</v>
      </c>
      <c r="E65" s="8">
        <v>440571.5</v>
      </c>
      <c r="F65" s="8">
        <v>6772.6</v>
      </c>
      <c r="G65" s="8">
        <v>276890.7</v>
      </c>
      <c r="H65" s="8">
        <v>218545.90000000002</v>
      </c>
      <c r="I65" s="8">
        <v>133802.10000000003</v>
      </c>
      <c r="J65" s="8">
        <v>84743.8</v>
      </c>
      <c r="K65" s="8">
        <v>24953.8</v>
      </c>
      <c r="L65" s="8">
        <v>3247.2</v>
      </c>
      <c r="M65" s="8">
        <v>13840.7</v>
      </c>
      <c r="N65" s="8">
        <v>58344.800000000003</v>
      </c>
      <c r="O65" s="8">
        <v>21115.3</v>
      </c>
      <c r="P65" s="8">
        <v>22302.400000000001</v>
      </c>
      <c r="Q65" s="8">
        <v>11084.9</v>
      </c>
      <c r="R65" s="8">
        <v>12219.3</v>
      </c>
      <c r="S65" s="8">
        <v>382.2</v>
      </c>
      <c r="T65" s="8">
        <v>6358.8</v>
      </c>
      <c r="U65" s="8">
        <v>5494.1</v>
      </c>
      <c r="V65" s="8">
        <v>12803.3</v>
      </c>
      <c r="W65" s="9">
        <v>64382.2</v>
      </c>
      <c r="X65" s="9">
        <v>608889.69999999995</v>
      </c>
      <c r="Y65" s="8">
        <f t="shared" si="0"/>
        <v>2536443.1</v>
      </c>
      <c r="Z65" s="8">
        <f t="shared" si="1"/>
        <v>1764113.2</v>
      </c>
      <c r="AA65" s="9">
        <v>593362.1</v>
      </c>
      <c r="AB65" s="9">
        <v>61186.1</v>
      </c>
      <c r="AC65" s="9">
        <v>649792.19999999995</v>
      </c>
      <c r="AD65" s="9">
        <v>148327</v>
      </c>
      <c r="AE65" s="9">
        <v>311445.8</v>
      </c>
      <c r="AF65">
        <f t="shared" si="2"/>
        <v>772329.9</v>
      </c>
      <c r="AG65" s="9">
        <v>465610.9</v>
      </c>
      <c r="AH65" s="9">
        <v>270492.40000000002</v>
      </c>
      <c r="AI65" s="9">
        <v>36226.6</v>
      </c>
      <c r="AJ65" s="9">
        <v>4390209.5</v>
      </c>
      <c r="AK65" s="9">
        <v>108955</v>
      </c>
      <c r="AL65">
        <v>248183.2</v>
      </c>
      <c r="AM65" s="9">
        <v>4747347.5999999996</v>
      </c>
      <c r="AN65" s="8">
        <f t="shared" si="3"/>
        <v>4300003.5</v>
      </c>
    </row>
    <row r="66" spans="1:40" x14ac:dyDescent="0.25">
      <c r="A66" s="1">
        <f t="shared" si="4"/>
        <v>42522</v>
      </c>
      <c r="B66" s="8">
        <v>584472.30000000005</v>
      </c>
      <c r="C66" s="8">
        <v>-120175.4</v>
      </c>
      <c r="D66" s="8">
        <v>524541.9</v>
      </c>
      <c r="E66" s="8">
        <v>518144.3</v>
      </c>
      <c r="F66" s="8">
        <v>6397.6</v>
      </c>
      <c r="G66" s="8">
        <v>356539.8</v>
      </c>
      <c r="H66" s="8">
        <v>220343.9</v>
      </c>
      <c r="I66" s="8">
        <v>132539.79999999999</v>
      </c>
      <c r="J66" s="8">
        <v>87804.1</v>
      </c>
      <c r="K66" s="8">
        <v>25109.200000000001</v>
      </c>
      <c r="L66" s="8">
        <v>3334</v>
      </c>
      <c r="M66" s="8">
        <v>13660.6</v>
      </c>
      <c r="N66" s="8">
        <v>136195.9</v>
      </c>
      <c r="O66" s="8">
        <v>21585.3</v>
      </c>
      <c r="P66" s="8">
        <v>22879.4</v>
      </c>
      <c r="Q66" s="8">
        <v>10603.9</v>
      </c>
      <c r="R66" s="8">
        <v>11369.4</v>
      </c>
      <c r="S66" s="8">
        <v>411.7</v>
      </c>
      <c r="T66" s="8">
        <v>6224.8</v>
      </c>
      <c r="U66" s="8">
        <v>5365.6</v>
      </c>
      <c r="V66" s="8">
        <v>11995.9</v>
      </c>
      <c r="W66" s="9">
        <v>69381.5</v>
      </c>
      <c r="X66" s="9">
        <v>654529.1</v>
      </c>
      <c r="Y66" s="8">
        <f t="shared" si="0"/>
        <v>2478011.9000000004</v>
      </c>
      <c r="Z66" s="8">
        <f t="shared" si="1"/>
        <v>1803202.4000000001</v>
      </c>
      <c r="AA66" s="9">
        <v>600815.80000000005</v>
      </c>
      <c r="AB66" s="9">
        <v>62453.5</v>
      </c>
      <c r="AC66" s="9">
        <v>664486.30000000005</v>
      </c>
      <c r="AD66" s="9">
        <v>158630.1</v>
      </c>
      <c r="AE66" s="9">
        <v>316816.7</v>
      </c>
      <c r="AF66">
        <f t="shared" si="2"/>
        <v>674809.5</v>
      </c>
      <c r="AG66" s="9">
        <v>399934</v>
      </c>
      <c r="AH66" s="9">
        <v>237947.5</v>
      </c>
      <c r="AI66" s="9">
        <v>36928</v>
      </c>
      <c r="AJ66" s="9">
        <v>4547301.0999999996</v>
      </c>
      <c r="AK66" s="9">
        <v>99579.199999999997</v>
      </c>
      <c r="AL66">
        <v>221181.8</v>
      </c>
      <c r="AM66" s="9">
        <v>4868062.0999999996</v>
      </c>
      <c r="AN66" s="8">
        <f t="shared" si="3"/>
        <v>4343520.1999999993</v>
      </c>
    </row>
    <row r="67" spans="1:40" x14ac:dyDescent="0.25">
      <c r="A67" s="1">
        <f t="shared" si="4"/>
        <v>42614</v>
      </c>
      <c r="B67" s="8">
        <v>497971.6</v>
      </c>
      <c r="C67" s="8">
        <v>-119748.5</v>
      </c>
      <c r="D67" s="8">
        <v>542116.30000000005</v>
      </c>
      <c r="E67" s="8">
        <v>535495</v>
      </c>
      <c r="F67" s="8">
        <v>6621.3</v>
      </c>
      <c r="G67" s="8">
        <v>357234</v>
      </c>
      <c r="H67" s="8">
        <v>221767.7</v>
      </c>
      <c r="I67" s="8">
        <v>133336.90000000002</v>
      </c>
      <c r="J67" s="8">
        <v>88430.8</v>
      </c>
      <c r="K67" s="8">
        <v>25270.7</v>
      </c>
      <c r="L67" s="8">
        <v>3402.6</v>
      </c>
      <c r="M67" s="8">
        <v>13575</v>
      </c>
      <c r="N67" s="8">
        <v>135466.29999999999</v>
      </c>
      <c r="O67" s="8">
        <v>21832.5</v>
      </c>
      <c r="P67" s="8">
        <v>23110.400000000001</v>
      </c>
      <c r="Q67" s="8">
        <v>10721.3</v>
      </c>
      <c r="R67" s="8">
        <v>11835.3</v>
      </c>
      <c r="S67" s="8">
        <v>438.7</v>
      </c>
      <c r="T67" s="8">
        <v>5730.8</v>
      </c>
      <c r="U67" s="8">
        <v>5142.8</v>
      </c>
      <c r="V67" s="8">
        <v>12276.8</v>
      </c>
      <c r="W67" s="9">
        <v>71207</v>
      </c>
      <c r="X67" s="9">
        <v>632672.80000000005</v>
      </c>
      <c r="Y67" s="8">
        <f t="shared" si="0"/>
        <v>2555924.1</v>
      </c>
      <c r="Z67" s="8">
        <f t="shared" si="1"/>
        <v>1752073.8</v>
      </c>
      <c r="AA67" s="9">
        <v>585792.19999999995</v>
      </c>
      <c r="AB67" s="9">
        <v>57864.800000000003</v>
      </c>
      <c r="AC67" s="9">
        <v>629664</v>
      </c>
      <c r="AD67" s="9">
        <v>158455.29999999999</v>
      </c>
      <c r="AE67" s="9">
        <v>320297.5</v>
      </c>
      <c r="AF67">
        <f t="shared" si="2"/>
        <v>803850.29999999993</v>
      </c>
      <c r="AG67" s="9">
        <v>485836.1</v>
      </c>
      <c r="AH67" s="9">
        <v>281417</v>
      </c>
      <c r="AI67" s="9">
        <v>36597.199999999997</v>
      </c>
      <c r="AJ67" s="9">
        <v>4537377.2</v>
      </c>
      <c r="AK67" s="9">
        <v>90407.9</v>
      </c>
      <c r="AL67">
        <v>233160.9</v>
      </c>
      <c r="AM67" s="9">
        <v>4860946</v>
      </c>
      <c r="AN67" s="8">
        <f t="shared" si="3"/>
        <v>4318829.7</v>
      </c>
    </row>
    <row r="68" spans="1:40" x14ac:dyDescent="0.25">
      <c r="A68" s="1">
        <f t="shared" si="4"/>
        <v>42705</v>
      </c>
      <c r="B68" s="8">
        <v>538479.6</v>
      </c>
      <c r="C68" s="8">
        <v>-111536.3</v>
      </c>
      <c r="D68" s="8">
        <v>686817.7</v>
      </c>
      <c r="E68" s="8">
        <v>679800.2</v>
      </c>
      <c r="F68" s="8">
        <v>7017.5</v>
      </c>
      <c r="G68" s="8">
        <v>374097.5</v>
      </c>
      <c r="H68" s="8">
        <v>227751.5</v>
      </c>
      <c r="I68" s="8">
        <v>136962.20000000001</v>
      </c>
      <c r="J68" s="8">
        <v>90789.3</v>
      </c>
      <c r="K68" s="8">
        <v>25470.400000000001</v>
      </c>
      <c r="L68" s="8">
        <v>3436.1</v>
      </c>
      <c r="M68" s="8">
        <v>13604.7</v>
      </c>
      <c r="N68" s="8">
        <v>146346</v>
      </c>
      <c r="O68" s="8">
        <v>21918.9</v>
      </c>
      <c r="P68" s="8">
        <v>23187.8</v>
      </c>
      <c r="Q68" s="8">
        <v>11580.9</v>
      </c>
      <c r="R68" s="8">
        <v>12403</v>
      </c>
      <c r="S68" s="8">
        <v>503.3</v>
      </c>
      <c r="T68" s="8">
        <v>6352.6</v>
      </c>
      <c r="U68" s="8">
        <v>5504.5</v>
      </c>
      <c r="V68" s="8">
        <v>13000</v>
      </c>
      <c r="W68" s="9">
        <v>73491.3</v>
      </c>
      <c r="X68" s="9">
        <v>631124.4</v>
      </c>
      <c r="Y68" s="8">
        <f t="shared" si="0"/>
        <v>2794907.1</v>
      </c>
      <c r="Z68" s="8">
        <f t="shared" si="1"/>
        <v>1701443.7000000002</v>
      </c>
      <c r="AA68" s="9">
        <v>598393.9</v>
      </c>
      <c r="AB68" s="9">
        <v>72647.600000000006</v>
      </c>
      <c r="AC68" s="9">
        <v>561167.5</v>
      </c>
      <c r="AD68" s="9">
        <v>148184.6</v>
      </c>
      <c r="AE68" s="9">
        <v>321050.09999999998</v>
      </c>
      <c r="AF68">
        <f t="shared" si="2"/>
        <v>1093463.3999999999</v>
      </c>
      <c r="AG68" s="9">
        <v>678509.1</v>
      </c>
      <c r="AH68" s="9">
        <v>378233.1</v>
      </c>
      <c r="AI68" s="9">
        <v>36721.199999999997</v>
      </c>
      <c r="AJ68" s="9">
        <v>4987381.2</v>
      </c>
      <c r="AK68" s="9">
        <v>91291.9</v>
      </c>
      <c r="AL68">
        <v>228320.1</v>
      </c>
      <c r="AM68" s="9">
        <v>5306993.2</v>
      </c>
      <c r="AN68" s="8">
        <f t="shared" si="3"/>
        <v>4620175.5</v>
      </c>
    </row>
    <row r="69" spans="1:40" x14ac:dyDescent="0.25">
      <c r="A69" s="1">
        <f t="shared" si="4"/>
        <v>42795</v>
      </c>
      <c r="B69" s="8">
        <v>620483.69999999995</v>
      </c>
      <c r="C69" s="8">
        <v>-121679.2</v>
      </c>
      <c r="D69" s="8">
        <v>618933.5</v>
      </c>
      <c r="E69" s="8">
        <v>611969.19999999995</v>
      </c>
      <c r="F69" s="8">
        <v>6964.3</v>
      </c>
      <c r="G69" s="8">
        <v>376958.3</v>
      </c>
      <c r="H69" s="8">
        <v>231447.69999999998</v>
      </c>
      <c r="I69" s="8">
        <v>138823.5</v>
      </c>
      <c r="J69" s="8">
        <v>92624.2</v>
      </c>
      <c r="K69" s="8">
        <v>26568.9</v>
      </c>
      <c r="L69" s="8">
        <v>3440</v>
      </c>
      <c r="M69" s="8">
        <v>14316.3</v>
      </c>
      <c r="N69" s="8">
        <v>145510.6</v>
      </c>
      <c r="O69" s="8">
        <v>21813.200000000001</v>
      </c>
      <c r="P69" s="8">
        <v>23350.1</v>
      </c>
      <c r="Q69" s="8">
        <v>11460.1</v>
      </c>
      <c r="R69" s="8">
        <v>12961.8</v>
      </c>
      <c r="S69" s="8">
        <v>474.4</v>
      </c>
      <c r="T69" s="8">
        <v>6001.3</v>
      </c>
      <c r="U69" s="8">
        <v>5397.7</v>
      </c>
      <c r="V69" s="8">
        <v>13039.7</v>
      </c>
      <c r="W69" s="9">
        <v>75327.100000000006</v>
      </c>
      <c r="X69" s="9">
        <v>634738.6</v>
      </c>
      <c r="Y69" s="8">
        <f t="shared" si="0"/>
        <v>2687502.5</v>
      </c>
      <c r="Z69" s="8">
        <f t="shared" si="1"/>
        <v>1900913.8</v>
      </c>
      <c r="AA69" s="9">
        <v>608859.4</v>
      </c>
      <c r="AB69" s="9">
        <v>67924.600000000006</v>
      </c>
      <c r="AC69" s="9">
        <v>733070.1</v>
      </c>
      <c r="AD69" s="9">
        <v>159271.4</v>
      </c>
      <c r="AE69" s="9">
        <v>331788.3</v>
      </c>
      <c r="AF69">
        <f t="shared" si="2"/>
        <v>786588.70000000007</v>
      </c>
      <c r="AG69" s="9">
        <v>474677.6</v>
      </c>
      <c r="AH69" s="9">
        <v>273796.2</v>
      </c>
      <c r="AI69" s="9">
        <v>38114.9</v>
      </c>
      <c r="AJ69" s="9">
        <v>4892264.5</v>
      </c>
      <c r="AK69" s="9">
        <v>101286.9</v>
      </c>
      <c r="AL69">
        <v>253549.6</v>
      </c>
      <c r="AM69" s="9">
        <v>5247101.0999999996</v>
      </c>
      <c r="AN69" s="8">
        <f t="shared" si="3"/>
        <v>4628167.5999999996</v>
      </c>
    </row>
    <row r="70" spans="1:40" x14ac:dyDescent="0.25">
      <c r="A70" s="1">
        <f t="shared" si="4"/>
        <v>42887</v>
      </c>
      <c r="B70" s="8">
        <v>610058.4</v>
      </c>
      <c r="C70" s="8">
        <v>-122967.3</v>
      </c>
      <c r="D70" s="8">
        <v>596740.80000000005</v>
      </c>
      <c r="E70" s="8">
        <v>589726.4</v>
      </c>
      <c r="F70" s="8">
        <v>7014.4</v>
      </c>
      <c r="G70" s="8">
        <v>366091.3</v>
      </c>
      <c r="H70" s="8">
        <v>230031.9</v>
      </c>
      <c r="I70" s="8">
        <v>135997.29999999999</v>
      </c>
      <c r="J70" s="8">
        <v>94034.6</v>
      </c>
      <c r="K70" s="8">
        <v>27053.599999999999</v>
      </c>
      <c r="L70" s="8">
        <v>3457.8</v>
      </c>
      <c r="M70" s="8">
        <v>14560.6</v>
      </c>
      <c r="N70" s="8">
        <v>136059.4</v>
      </c>
      <c r="O70" s="8">
        <v>21898.2</v>
      </c>
      <c r="P70" s="8">
        <v>23399.1</v>
      </c>
      <c r="Q70" s="8">
        <v>10508</v>
      </c>
      <c r="R70" s="8">
        <v>11757.2</v>
      </c>
      <c r="S70" s="8">
        <v>481.4</v>
      </c>
      <c r="T70" s="8">
        <v>5921.9</v>
      </c>
      <c r="U70" s="8">
        <v>5379.9</v>
      </c>
      <c r="V70" s="8">
        <v>11579.6</v>
      </c>
      <c r="W70" s="9">
        <v>77542</v>
      </c>
      <c r="X70" s="9">
        <v>668055.1</v>
      </c>
      <c r="Y70" s="8">
        <f t="shared" ref="Y70:Y104" si="5">Z70+AF70</f>
        <v>2589239.6</v>
      </c>
      <c r="Z70" s="8">
        <f t="shared" ref="Z70:Z104" si="6">SUM(AA70:AE70)</f>
        <v>1911189.1</v>
      </c>
      <c r="AA70" s="9">
        <v>613443.1</v>
      </c>
      <c r="AB70" s="9">
        <v>66954.899999999994</v>
      </c>
      <c r="AC70" s="9">
        <v>733434.3</v>
      </c>
      <c r="AD70" s="9">
        <v>160122</v>
      </c>
      <c r="AE70" s="9">
        <v>337234.8</v>
      </c>
      <c r="AF70">
        <f t="shared" ref="AF70:AF104" si="7">AG70+AH70+AI70</f>
        <v>678050.5</v>
      </c>
      <c r="AG70" s="9">
        <v>402788.6</v>
      </c>
      <c r="AH70" s="9">
        <v>236466.2</v>
      </c>
      <c r="AI70" s="9">
        <v>38795.699999999997</v>
      </c>
      <c r="AJ70" s="9">
        <v>4784759.9000000004</v>
      </c>
      <c r="AK70" s="9">
        <v>91875.4</v>
      </c>
      <c r="AL70">
        <v>249717.1</v>
      </c>
      <c r="AM70" s="9">
        <v>5126352.5</v>
      </c>
      <c r="AN70" s="8">
        <f t="shared" ref="AN70:AN104" si="8">AM70-D70</f>
        <v>4529611.7</v>
      </c>
    </row>
    <row r="71" spans="1:40" x14ac:dyDescent="0.25">
      <c r="A71" s="1">
        <f t="shared" ref="A71:A90" si="9">EDATE(A70,3)</f>
        <v>42979</v>
      </c>
      <c r="B71" s="8">
        <v>517985.2</v>
      </c>
      <c r="C71" s="8">
        <v>-123716.5</v>
      </c>
      <c r="D71" s="8">
        <v>578306.80000000005</v>
      </c>
      <c r="E71" s="8">
        <v>572235.69999999995</v>
      </c>
      <c r="F71" s="8">
        <v>6071.1</v>
      </c>
      <c r="G71" s="8">
        <v>371964.4</v>
      </c>
      <c r="H71" s="8">
        <v>237028.00000000003</v>
      </c>
      <c r="I71" s="8">
        <v>139520.80000000005</v>
      </c>
      <c r="J71" s="8">
        <v>97507.199999999997</v>
      </c>
      <c r="K71" s="8">
        <v>27709.4</v>
      </c>
      <c r="L71" s="8">
        <v>3418</v>
      </c>
      <c r="M71" s="8">
        <v>14806.1</v>
      </c>
      <c r="N71" s="8">
        <v>134936.4</v>
      </c>
      <c r="O71" s="8">
        <v>22193</v>
      </c>
      <c r="P71" s="8">
        <v>23420.2</v>
      </c>
      <c r="Q71" s="8">
        <v>10799.3</v>
      </c>
      <c r="R71" s="8">
        <v>12937.2</v>
      </c>
      <c r="S71" s="8">
        <v>492.5</v>
      </c>
      <c r="T71" s="8">
        <v>5650.1</v>
      </c>
      <c r="U71" s="8">
        <v>5418.2</v>
      </c>
      <c r="V71" s="8">
        <v>12676.7</v>
      </c>
      <c r="W71" s="9">
        <v>79149.399999999994</v>
      </c>
      <c r="X71" s="9">
        <v>671225.1</v>
      </c>
      <c r="Y71" s="8">
        <f t="shared" si="5"/>
        <v>2677379.9</v>
      </c>
      <c r="Z71" s="8">
        <f t="shared" si="6"/>
        <v>1878725</v>
      </c>
      <c r="AA71" s="9">
        <v>625935.4</v>
      </c>
      <c r="AB71" s="9">
        <v>72242.100000000006</v>
      </c>
      <c r="AC71" s="9">
        <v>677898.1</v>
      </c>
      <c r="AD71" s="9">
        <v>160742.70000000001</v>
      </c>
      <c r="AE71" s="9">
        <v>341906.7</v>
      </c>
      <c r="AF71">
        <f t="shared" si="7"/>
        <v>798654.9</v>
      </c>
      <c r="AG71" s="9">
        <v>483106.4</v>
      </c>
      <c r="AH71" s="9">
        <v>276494.59999999998</v>
      </c>
      <c r="AI71" s="9">
        <v>39053.9</v>
      </c>
      <c r="AJ71" s="9">
        <v>4772294.3</v>
      </c>
      <c r="AK71" s="9">
        <v>94614.2</v>
      </c>
      <c r="AL71">
        <v>263931.3</v>
      </c>
      <c r="AM71" s="9">
        <v>5130839.8</v>
      </c>
      <c r="AN71" s="8">
        <f t="shared" si="8"/>
        <v>4552533</v>
      </c>
    </row>
    <row r="72" spans="1:40" x14ac:dyDescent="0.25">
      <c r="A72" s="1">
        <f t="shared" si="9"/>
        <v>43070</v>
      </c>
      <c r="B72" s="8">
        <v>576072.69999999995</v>
      </c>
      <c r="C72" s="8">
        <v>-119555</v>
      </c>
      <c r="D72" s="8">
        <v>715214.9</v>
      </c>
      <c r="E72" s="8">
        <v>707976.7</v>
      </c>
      <c r="F72" s="8">
        <v>7238.2</v>
      </c>
      <c r="G72" s="8">
        <v>430501.1</v>
      </c>
      <c r="H72" s="8">
        <v>243789.49999999997</v>
      </c>
      <c r="I72" s="8">
        <v>144652.59999999998</v>
      </c>
      <c r="J72" s="8">
        <v>99136.9</v>
      </c>
      <c r="K72" s="8">
        <v>27336.1</v>
      </c>
      <c r="L72" s="8">
        <v>3458.1</v>
      </c>
      <c r="M72" s="8">
        <v>14538</v>
      </c>
      <c r="N72" s="8">
        <v>186711.6</v>
      </c>
      <c r="O72" s="8">
        <v>22739.599999999999</v>
      </c>
      <c r="P72" s="8">
        <v>23571.599999999999</v>
      </c>
      <c r="Q72" s="8">
        <v>11992.6</v>
      </c>
      <c r="R72" s="8">
        <v>13686.8</v>
      </c>
      <c r="S72" s="8">
        <v>618.70000000000005</v>
      </c>
      <c r="T72" s="8">
        <v>6575.7</v>
      </c>
      <c r="U72" s="8">
        <v>6124.3</v>
      </c>
      <c r="V72" s="8">
        <v>14010.9</v>
      </c>
      <c r="W72" s="9">
        <v>79341.399999999994</v>
      </c>
      <c r="X72" s="9">
        <v>714004.2</v>
      </c>
      <c r="Y72" s="8">
        <f t="shared" si="5"/>
        <v>2839230.9</v>
      </c>
      <c r="Z72" s="8">
        <f t="shared" si="6"/>
        <v>1808047</v>
      </c>
      <c r="AA72" s="9">
        <v>646687.1</v>
      </c>
      <c r="AB72" s="9">
        <v>82577.399999999994</v>
      </c>
      <c r="AC72" s="9">
        <v>577927.5</v>
      </c>
      <c r="AD72" s="9">
        <v>155872.9</v>
      </c>
      <c r="AE72" s="9">
        <v>344982.1</v>
      </c>
      <c r="AF72">
        <f t="shared" si="7"/>
        <v>1031183.9</v>
      </c>
      <c r="AG72" s="9">
        <v>637403.4</v>
      </c>
      <c r="AH72" s="9">
        <v>354307</v>
      </c>
      <c r="AI72" s="9">
        <v>39473.5</v>
      </c>
      <c r="AJ72" s="9">
        <v>5234810.3</v>
      </c>
      <c r="AK72" s="9">
        <v>77933.399999999994</v>
      </c>
      <c r="AL72">
        <v>254618.9</v>
      </c>
      <c r="AM72" s="9">
        <v>5567362.5999999996</v>
      </c>
      <c r="AN72" s="8">
        <f t="shared" si="8"/>
        <v>4852147.6999999993</v>
      </c>
    </row>
    <row r="73" spans="1:40" x14ac:dyDescent="0.25">
      <c r="A73" s="1">
        <f t="shared" si="9"/>
        <v>43160</v>
      </c>
      <c r="B73" s="8">
        <v>666677.9</v>
      </c>
      <c r="C73" s="8">
        <v>-130183.6</v>
      </c>
      <c r="D73" s="8">
        <v>735500.4</v>
      </c>
      <c r="E73" s="8">
        <v>727838</v>
      </c>
      <c r="F73" s="8">
        <v>7662.4</v>
      </c>
      <c r="G73" s="8">
        <v>380670.8</v>
      </c>
      <c r="H73" s="8">
        <v>246912.5</v>
      </c>
      <c r="I73" s="8">
        <v>145109.9</v>
      </c>
      <c r="J73" s="8">
        <v>101802.6</v>
      </c>
      <c r="K73" s="8">
        <v>27403</v>
      </c>
      <c r="L73" s="8">
        <v>3599.4</v>
      </c>
      <c r="M73" s="8">
        <v>14862.6</v>
      </c>
      <c r="N73" s="8">
        <v>133758.29999999999</v>
      </c>
      <c r="O73" s="8">
        <v>23684</v>
      </c>
      <c r="P73" s="8">
        <v>23664.400000000001</v>
      </c>
      <c r="Q73" s="8">
        <v>11152.8</v>
      </c>
      <c r="R73" s="8">
        <v>13498.9</v>
      </c>
      <c r="S73" s="8">
        <v>678.7</v>
      </c>
      <c r="T73" s="8">
        <v>6331.7</v>
      </c>
      <c r="U73" s="8">
        <v>6311.8</v>
      </c>
      <c r="V73" s="8">
        <v>13922.6</v>
      </c>
      <c r="W73" s="9">
        <v>80981.2</v>
      </c>
      <c r="X73" s="9">
        <v>715332.5</v>
      </c>
      <c r="Y73" s="8">
        <f t="shared" si="5"/>
        <v>2804593</v>
      </c>
      <c r="Z73" s="8">
        <f t="shared" si="6"/>
        <v>2039387.9000000001</v>
      </c>
      <c r="AA73" s="9">
        <v>647205</v>
      </c>
      <c r="AB73" s="9">
        <v>72291.600000000006</v>
      </c>
      <c r="AC73" s="9">
        <v>795785.5</v>
      </c>
      <c r="AD73" s="9">
        <v>169217.8</v>
      </c>
      <c r="AE73" s="9">
        <v>354888</v>
      </c>
      <c r="AF73">
        <f t="shared" si="7"/>
        <v>765205.1</v>
      </c>
      <c r="AG73" s="9">
        <v>459830</v>
      </c>
      <c r="AH73" s="9">
        <v>264590.09999999998</v>
      </c>
      <c r="AI73" s="9">
        <v>40785</v>
      </c>
      <c r="AJ73" s="9">
        <v>5253572.3</v>
      </c>
      <c r="AK73" s="9">
        <v>89170.3</v>
      </c>
      <c r="AL73">
        <v>269834.40000000002</v>
      </c>
      <c r="AM73" s="9">
        <v>5612577</v>
      </c>
      <c r="AN73" s="8">
        <f t="shared" si="8"/>
        <v>4877076.5999999996</v>
      </c>
    </row>
    <row r="74" spans="1:40" x14ac:dyDescent="0.25">
      <c r="A74" s="1">
        <f t="shared" si="9"/>
        <v>43252</v>
      </c>
      <c r="B74" s="8">
        <v>681338.4</v>
      </c>
      <c r="C74" s="8">
        <v>-136206.6</v>
      </c>
      <c r="D74" s="8">
        <v>777620.1</v>
      </c>
      <c r="E74" s="8">
        <v>768899.6</v>
      </c>
      <c r="F74" s="8">
        <v>8720.5</v>
      </c>
      <c r="G74" s="8">
        <v>415257.9</v>
      </c>
      <c r="H74" s="8">
        <v>248802.60000000003</v>
      </c>
      <c r="I74" s="8">
        <v>145670.00000000003</v>
      </c>
      <c r="J74" s="8">
        <v>103132.6</v>
      </c>
      <c r="K74" s="8">
        <v>27517.9</v>
      </c>
      <c r="L74" s="8">
        <v>3651.3</v>
      </c>
      <c r="M74" s="8">
        <v>14823.3</v>
      </c>
      <c r="N74" s="8">
        <v>166455.29999999999</v>
      </c>
      <c r="O74" s="8">
        <v>24260.7</v>
      </c>
      <c r="P74" s="8">
        <v>23671.599999999999</v>
      </c>
      <c r="Q74" s="8">
        <v>11112.7</v>
      </c>
      <c r="R74" s="8">
        <v>13406.9</v>
      </c>
      <c r="S74" s="8">
        <v>588.29999999999995</v>
      </c>
      <c r="T74" s="8">
        <v>6296</v>
      </c>
      <c r="U74" s="8">
        <v>6394.5</v>
      </c>
      <c r="V74" s="8">
        <v>13946.9</v>
      </c>
      <c r="W74" s="9">
        <v>81565.5</v>
      </c>
      <c r="X74" s="9">
        <v>712547.5</v>
      </c>
      <c r="Y74" s="8">
        <f t="shared" si="5"/>
        <v>2716592.8000000003</v>
      </c>
      <c r="Z74" s="8">
        <f t="shared" si="6"/>
        <v>2051343.6</v>
      </c>
      <c r="AA74" s="9">
        <v>649747.80000000005</v>
      </c>
      <c r="AB74" s="9">
        <v>78336.2</v>
      </c>
      <c r="AC74" s="9">
        <v>782097.3</v>
      </c>
      <c r="AD74" s="9">
        <v>177311.8</v>
      </c>
      <c r="AE74" s="9">
        <v>363850.5</v>
      </c>
      <c r="AF74">
        <f t="shared" si="7"/>
        <v>665249.20000000007</v>
      </c>
      <c r="AG74" s="9">
        <v>392654.8</v>
      </c>
      <c r="AH74" s="9">
        <v>230855.6</v>
      </c>
      <c r="AI74" s="9">
        <v>41738.800000000003</v>
      </c>
      <c r="AJ74" s="9">
        <v>5248715.5999999996</v>
      </c>
      <c r="AK74" s="9">
        <v>69592.899999999994</v>
      </c>
      <c r="AL74">
        <v>275404.5</v>
      </c>
      <c r="AM74" s="9">
        <v>5593713</v>
      </c>
      <c r="AN74" s="8">
        <f t="shared" si="8"/>
        <v>4816092.9000000004</v>
      </c>
    </row>
    <row r="75" spans="1:40" x14ac:dyDescent="0.25">
      <c r="A75" s="1">
        <f t="shared" si="9"/>
        <v>43344</v>
      </c>
      <c r="B75" s="8">
        <v>580703.80000000005</v>
      </c>
      <c r="C75" s="8">
        <v>-136808.79999999999</v>
      </c>
      <c r="D75" s="8">
        <v>808369.3</v>
      </c>
      <c r="E75" s="8">
        <v>799080.3</v>
      </c>
      <c r="F75" s="8">
        <v>9288.9</v>
      </c>
      <c r="G75" s="8">
        <v>422445.9</v>
      </c>
      <c r="H75" s="8">
        <v>254278.2</v>
      </c>
      <c r="I75" s="8">
        <v>147603.1</v>
      </c>
      <c r="J75" s="8">
        <v>106675.1</v>
      </c>
      <c r="K75" s="8">
        <v>27885.1</v>
      </c>
      <c r="L75" s="8">
        <v>3676.5</v>
      </c>
      <c r="M75" s="8">
        <v>15097.7</v>
      </c>
      <c r="N75" s="8">
        <v>168167.7</v>
      </c>
      <c r="O75" s="8">
        <v>24543.5</v>
      </c>
      <c r="P75" s="8">
        <v>24219.7</v>
      </c>
      <c r="Q75" s="8">
        <v>11396.1</v>
      </c>
      <c r="R75" s="8">
        <v>13492.3</v>
      </c>
      <c r="S75" s="8">
        <v>558.79999999999995</v>
      </c>
      <c r="T75" s="8">
        <v>6268.2</v>
      </c>
      <c r="U75" s="8">
        <v>6426.4</v>
      </c>
      <c r="V75" s="8">
        <v>14038.7</v>
      </c>
      <c r="W75" s="9">
        <v>82487.8</v>
      </c>
      <c r="X75" s="9">
        <v>728082.1</v>
      </c>
      <c r="Y75" s="8">
        <f t="shared" si="5"/>
        <v>2795935.3</v>
      </c>
      <c r="Z75" s="8">
        <f t="shared" si="6"/>
        <v>2001577.7</v>
      </c>
      <c r="AA75" s="9">
        <v>650224.80000000005</v>
      </c>
      <c r="AB75" s="9">
        <v>82996.399999999994</v>
      </c>
      <c r="AC75" s="9">
        <v>715953.8</v>
      </c>
      <c r="AD75" s="9">
        <v>179173.7</v>
      </c>
      <c r="AE75" s="9">
        <v>373229</v>
      </c>
      <c r="AF75">
        <f t="shared" si="7"/>
        <v>794357.6</v>
      </c>
      <c r="AG75" s="9">
        <v>477469.9</v>
      </c>
      <c r="AH75" s="9">
        <v>274144.3</v>
      </c>
      <c r="AI75" s="9">
        <v>42743.4</v>
      </c>
      <c r="AJ75" s="9">
        <v>5281215.3</v>
      </c>
      <c r="AK75" s="9">
        <v>84243.9</v>
      </c>
      <c r="AL75">
        <v>293246.3</v>
      </c>
      <c r="AM75" s="9">
        <v>5658705.4000000004</v>
      </c>
      <c r="AN75" s="8">
        <f t="shared" si="8"/>
        <v>4850336.1000000006</v>
      </c>
    </row>
    <row r="76" spans="1:40" x14ac:dyDescent="0.25">
      <c r="A76" s="1">
        <f t="shared" si="9"/>
        <v>43435</v>
      </c>
      <c r="B76" s="8">
        <v>621812.9</v>
      </c>
      <c r="C76" s="8">
        <v>-120986</v>
      </c>
      <c r="D76" s="8">
        <v>828490.2</v>
      </c>
      <c r="E76" s="8">
        <v>818877</v>
      </c>
      <c r="F76" s="8">
        <v>9613.2000000000007</v>
      </c>
      <c r="G76" s="8">
        <v>387047.4</v>
      </c>
      <c r="H76" s="8">
        <v>260265.7</v>
      </c>
      <c r="I76" s="8">
        <v>154361</v>
      </c>
      <c r="J76" s="8">
        <v>105904.7</v>
      </c>
      <c r="K76" s="8">
        <v>28468</v>
      </c>
      <c r="L76" s="8">
        <v>3682.8</v>
      </c>
      <c r="M76" s="8">
        <v>15387.3</v>
      </c>
      <c r="N76" s="8">
        <v>126781.7</v>
      </c>
      <c r="O76" s="8">
        <v>24567.8</v>
      </c>
      <c r="P76" s="8">
        <v>24769.3</v>
      </c>
      <c r="Q76" s="8">
        <v>13371.4</v>
      </c>
      <c r="R76" s="8">
        <v>14649</v>
      </c>
      <c r="S76" s="8">
        <v>627.20000000000005</v>
      </c>
      <c r="T76" s="8">
        <v>6657</v>
      </c>
      <c r="U76" s="8">
        <v>6653.4</v>
      </c>
      <c r="V76" s="8">
        <v>15527.8</v>
      </c>
      <c r="W76" s="9">
        <v>84612.6</v>
      </c>
      <c r="X76" s="9">
        <v>776198.8</v>
      </c>
      <c r="Y76" s="8">
        <f t="shared" si="5"/>
        <v>2894629</v>
      </c>
      <c r="Z76" s="8">
        <f t="shared" si="6"/>
        <v>1907408.9000000001</v>
      </c>
      <c r="AA76" s="9">
        <v>649755.4</v>
      </c>
      <c r="AB76" s="9">
        <v>82427.899999999994</v>
      </c>
      <c r="AC76" s="9">
        <v>630278.30000000005</v>
      </c>
      <c r="AD76" s="9">
        <v>161562.79999999999</v>
      </c>
      <c r="AE76" s="9">
        <v>383384.5</v>
      </c>
      <c r="AF76">
        <f t="shared" si="7"/>
        <v>987220.10000000009</v>
      </c>
      <c r="AG76" s="9">
        <v>604111.30000000005</v>
      </c>
      <c r="AH76" s="9">
        <v>338725.9</v>
      </c>
      <c r="AI76" s="9">
        <v>44382.9</v>
      </c>
      <c r="AJ76" s="9">
        <v>5471804.9000000004</v>
      </c>
      <c r="AK76" s="9">
        <v>67187.899999999994</v>
      </c>
      <c r="AL76">
        <v>279856.8</v>
      </c>
      <c r="AM76" s="9">
        <v>5818849.5999999996</v>
      </c>
      <c r="AN76" s="8">
        <f t="shared" si="8"/>
        <v>4990359.3999999994</v>
      </c>
    </row>
    <row r="77" spans="1:40" x14ac:dyDescent="0.25">
      <c r="A77" s="1">
        <f t="shared" si="9"/>
        <v>43525</v>
      </c>
      <c r="B77" s="8">
        <v>709992.2</v>
      </c>
      <c r="C77" s="8">
        <v>-122638.5</v>
      </c>
      <c r="D77" s="8">
        <v>775612.5</v>
      </c>
      <c r="E77" s="8">
        <v>766911.9</v>
      </c>
      <c r="F77" s="8">
        <v>8700.6</v>
      </c>
      <c r="G77" s="8">
        <v>310686.09999999998</v>
      </c>
      <c r="H77" s="8">
        <v>255738.99999999997</v>
      </c>
      <c r="I77" s="8">
        <v>153182.19999999995</v>
      </c>
      <c r="J77" s="8">
        <v>102556.8</v>
      </c>
      <c r="K77" s="8">
        <v>30518.2</v>
      </c>
      <c r="L77" s="8">
        <v>3770.7</v>
      </c>
      <c r="M77" s="8">
        <v>15936.2</v>
      </c>
      <c r="N77" s="8">
        <v>54947.1</v>
      </c>
      <c r="O77" s="8">
        <v>24099.3</v>
      </c>
      <c r="P77" s="8">
        <v>24483.7</v>
      </c>
      <c r="Q77" s="8">
        <v>12999.8</v>
      </c>
      <c r="R77" s="8">
        <v>13470.6</v>
      </c>
      <c r="S77" s="8">
        <v>750.2</v>
      </c>
      <c r="T77" s="8">
        <v>6705.4</v>
      </c>
      <c r="U77" s="8">
        <v>6696.3</v>
      </c>
      <c r="V77" s="8">
        <v>13751.8</v>
      </c>
      <c r="W77" s="9">
        <v>87732.4</v>
      </c>
      <c r="X77" s="9">
        <v>760528.2</v>
      </c>
      <c r="Y77" s="8">
        <f t="shared" si="5"/>
        <v>3704764.4</v>
      </c>
      <c r="Z77" s="8">
        <f t="shared" si="6"/>
        <v>2136978.7000000002</v>
      </c>
      <c r="AA77" s="9">
        <v>660061.6</v>
      </c>
      <c r="AB77" s="9">
        <v>83478.2</v>
      </c>
      <c r="AC77" s="9">
        <v>830714.7</v>
      </c>
      <c r="AD77" s="9">
        <v>165269.79999999999</v>
      </c>
      <c r="AE77" s="9">
        <v>397454.4</v>
      </c>
      <c r="AF77">
        <f t="shared" si="7"/>
        <v>1567785.6999999997</v>
      </c>
      <c r="AG77" s="9">
        <v>987886.6</v>
      </c>
      <c r="AH77" s="9">
        <v>533521.19999999995</v>
      </c>
      <c r="AI77" s="9">
        <v>46377.9</v>
      </c>
      <c r="AJ77" s="9">
        <v>6226677.2000000002</v>
      </c>
      <c r="AK77" s="9">
        <v>87963.8</v>
      </c>
      <c r="AL77">
        <v>300139.59999999998</v>
      </c>
      <c r="AM77" s="9">
        <v>6614780.5999999996</v>
      </c>
      <c r="AN77" s="8">
        <f t="shared" si="8"/>
        <v>5839168.0999999996</v>
      </c>
    </row>
    <row r="78" spans="1:40" x14ac:dyDescent="0.25">
      <c r="A78" s="1">
        <f t="shared" si="9"/>
        <v>43617</v>
      </c>
      <c r="B78" s="8">
        <v>703222.5</v>
      </c>
      <c r="C78" s="8">
        <v>-125823.7</v>
      </c>
      <c r="D78" s="8">
        <v>640280.6</v>
      </c>
      <c r="E78" s="8">
        <v>632141.30000000005</v>
      </c>
      <c r="F78" s="8">
        <v>8139.3</v>
      </c>
      <c r="G78" s="8">
        <v>388289.7</v>
      </c>
      <c r="H78" s="8">
        <v>257424.5</v>
      </c>
      <c r="I78" s="8">
        <v>154144.4</v>
      </c>
      <c r="J78" s="8">
        <v>103280.1</v>
      </c>
      <c r="K78" s="8">
        <v>30618.2</v>
      </c>
      <c r="L78" s="8">
        <v>3822.8</v>
      </c>
      <c r="M78" s="8">
        <v>16021.5</v>
      </c>
      <c r="N78" s="8">
        <v>130865.2</v>
      </c>
      <c r="O78" s="8">
        <v>23916.2</v>
      </c>
      <c r="P78" s="8">
        <v>24370.9</v>
      </c>
      <c r="Q78" s="8">
        <v>13112.4</v>
      </c>
      <c r="R78" s="8">
        <v>13949.1</v>
      </c>
      <c r="S78" s="8">
        <v>763.4</v>
      </c>
      <c r="T78" s="8">
        <v>6711.6</v>
      </c>
      <c r="U78" s="8">
        <v>6741.9</v>
      </c>
      <c r="V78" s="8">
        <v>14116.4</v>
      </c>
      <c r="W78" s="9">
        <v>90278.1</v>
      </c>
      <c r="X78" s="9">
        <v>762715.3</v>
      </c>
      <c r="Y78" s="8">
        <f t="shared" si="5"/>
        <v>2826948.9</v>
      </c>
      <c r="Z78" s="8">
        <f t="shared" si="6"/>
        <v>2140261</v>
      </c>
      <c r="AA78" s="9">
        <v>654871.30000000005</v>
      </c>
      <c r="AB78" s="9">
        <v>78873.399999999994</v>
      </c>
      <c r="AC78" s="9">
        <v>828994</v>
      </c>
      <c r="AD78" s="9">
        <v>169798</v>
      </c>
      <c r="AE78" s="9">
        <v>407724.3</v>
      </c>
      <c r="AF78">
        <f t="shared" si="7"/>
        <v>686687.9</v>
      </c>
      <c r="AG78" s="9">
        <v>401096.7</v>
      </c>
      <c r="AH78" s="9">
        <v>237595.6</v>
      </c>
      <c r="AI78" s="9">
        <v>47995.6</v>
      </c>
      <c r="AJ78" s="9">
        <v>5285911.5999999996</v>
      </c>
      <c r="AK78" s="9">
        <v>78672.899999999994</v>
      </c>
      <c r="AL78">
        <v>276936.59999999998</v>
      </c>
      <c r="AM78" s="9">
        <v>5641521.0999999996</v>
      </c>
      <c r="AN78" s="8">
        <f t="shared" si="8"/>
        <v>5001240.5</v>
      </c>
    </row>
    <row r="79" spans="1:40" x14ac:dyDescent="0.25">
      <c r="A79" s="1">
        <f t="shared" si="9"/>
        <v>43709</v>
      </c>
      <c r="B79" s="8">
        <v>591632.19999999995</v>
      </c>
      <c r="C79" s="8">
        <v>-126702.2</v>
      </c>
      <c r="D79" s="8">
        <v>626479.4</v>
      </c>
      <c r="E79" s="8">
        <v>618227.30000000005</v>
      </c>
      <c r="F79" s="8">
        <v>8252.2000000000007</v>
      </c>
      <c r="G79" s="8">
        <v>376174.1</v>
      </c>
      <c r="H79" s="8">
        <v>264845.8</v>
      </c>
      <c r="I79" s="8">
        <v>153606.69999999998</v>
      </c>
      <c r="J79" s="8">
        <v>111239.1</v>
      </c>
      <c r="K79" s="8">
        <v>29496.799999999999</v>
      </c>
      <c r="L79" s="8">
        <v>3889.3</v>
      </c>
      <c r="M79" s="8">
        <v>15819.3</v>
      </c>
      <c r="N79" s="8">
        <v>111328.3</v>
      </c>
      <c r="O79" s="8">
        <v>23952.3</v>
      </c>
      <c r="P79" s="8">
        <v>23841</v>
      </c>
      <c r="Q79" s="8">
        <v>12785.2</v>
      </c>
      <c r="R79" s="8">
        <v>14731.7</v>
      </c>
      <c r="S79" s="8">
        <v>836.8</v>
      </c>
      <c r="T79" s="8">
        <v>6696.1</v>
      </c>
      <c r="U79" s="8">
        <v>6868.6</v>
      </c>
      <c r="V79" s="8">
        <v>14689.6</v>
      </c>
      <c r="W79" s="9">
        <v>89411.1</v>
      </c>
      <c r="X79" s="9">
        <v>801410.9</v>
      </c>
      <c r="Y79" s="8">
        <f t="shared" si="5"/>
        <v>2884256.3</v>
      </c>
      <c r="Z79" s="8">
        <f t="shared" si="6"/>
        <v>2050518.2999999998</v>
      </c>
      <c r="AA79" s="9">
        <v>641867.4</v>
      </c>
      <c r="AB79" s="9">
        <v>78802.100000000006</v>
      </c>
      <c r="AC79" s="9">
        <v>744062.2</v>
      </c>
      <c r="AD79" s="9">
        <v>170527.7</v>
      </c>
      <c r="AE79" s="9">
        <v>415258.9</v>
      </c>
      <c r="AF79">
        <f t="shared" si="7"/>
        <v>833738</v>
      </c>
      <c r="AG79" s="9">
        <v>497348.4</v>
      </c>
      <c r="AH79" s="9">
        <v>287484.59999999998</v>
      </c>
      <c r="AI79" s="9">
        <v>48905</v>
      </c>
      <c r="AJ79" s="9">
        <v>5242661.9000000004</v>
      </c>
      <c r="AK79" s="9">
        <v>91169.9</v>
      </c>
      <c r="AL79">
        <v>296603.59999999998</v>
      </c>
      <c r="AM79" s="9">
        <v>5630435.2999999998</v>
      </c>
      <c r="AN79" s="8">
        <f t="shared" si="8"/>
        <v>5003955.8999999994</v>
      </c>
    </row>
    <row r="80" spans="1:40" x14ac:dyDescent="0.25">
      <c r="A80" s="1">
        <f t="shared" si="9"/>
        <v>43800</v>
      </c>
      <c r="B80" s="8">
        <v>645707.1</v>
      </c>
      <c r="C80" s="8">
        <v>-111227.7</v>
      </c>
      <c r="D80" s="8">
        <v>723652.4</v>
      </c>
      <c r="E80" s="8">
        <v>714963.5</v>
      </c>
      <c r="F80" s="8">
        <v>8688.9</v>
      </c>
      <c r="G80" s="8">
        <v>403533.1</v>
      </c>
      <c r="H80" s="8">
        <v>262141.69999999998</v>
      </c>
      <c r="I80" s="8">
        <v>152861.59999999998</v>
      </c>
      <c r="J80" s="8">
        <v>109280.1</v>
      </c>
      <c r="K80" s="8">
        <v>26673.8</v>
      </c>
      <c r="L80" s="8">
        <v>3968.2</v>
      </c>
      <c r="M80" s="8">
        <v>15418.1</v>
      </c>
      <c r="N80" s="8">
        <v>141391.4</v>
      </c>
      <c r="O80" s="8">
        <v>24224.2</v>
      </c>
      <c r="P80" s="8">
        <v>22313.3</v>
      </c>
      <c r="Q80" s="8">
        <v>13424.6</v>
      </c>
      <c r="R80" s="8">
        <v>16674.7</v>
      </c>
      <c r="S80" s="8">
        <v>817.6</v>
      </c>
      <c r="T80" s="8">
        <v>6049.9</v>
      </c>
      <c r="U80" s="8">
        <v>6292.2</v>
      </c>
      <c r="V80" s="8">
        <v>17005.2</v>
      </c>
      <c r="W80" s="9">
        <v>89073.3</v>
      </c>
      <c r="X80" s="9">
        <v>826486.6</v>
      </c>
      <c r="Y80" s="8">
        <f t="shared" si="5"/>
        <v>2239928.1999999997</v>
      </c>
      <c r="Z80" s="8">
        <f t="shared" si="6"/>
        <v>1894689.9</v>
      </c>
      <c r="AA80" s="9">
        <v>628138.6</v>
      </c>
      <c r="AB80" s="9">
        <v>77671.3</v>
      </c>
      <c r="AC80" s="9">
        <v>619093</v>
      </c>
      <c r="AD80" s="9">
        <v>150557.5</v>
      </c>
      <c r="AE80" s="9">
        <v>419229.5</v>
      </c>
      <c r="AF80">
        <f t="shared" si="7"/>
        <v>345238.3</v>
      </c>
      <c r="AG80" s="9">
        <v>171617.3</v>
      </c>
      <c r="AH80" s="9">
        <v>124172.5</v>
      </c>
      <c r="AI80" s="9">
        <v>49448.5</v>
      </c>
      <c r="AJ80" s="9">
        <v>4817153.3</v>
      </c>
      <c r="AK80" s="9">
        <v>104792.4</v>
      </c>
      <c r="AL80">
        <v>281416.2</v>
      </c>
      <c r="AM80" s="9">
        <v>5203361.9000000004</v>
      </c>
      <c r="AN80" s="8">
        <f t="shared" si="8"/>
        <v>4479709.5</v>
      </c>
    </row>
    <row r="81" spans="1:40" x14ac:dyDescent="0.25">
      <c r="A81" s="1">
        <f t="shared" si="9"/>
        <v>43891</v>
      </c>
      <c r="B81" s="8">
        <v>722876</v>
      </c>
      <c r="C81" s="8">
        <v>-121091.6</v>
      </c>
      <c r="D81" s="8">
        <v>465695.6</v>
      </c>
      <c r="E81" s="8">
        <v>456989.1</v>
      </c>
      <c r="F81" s="8">
        <v>8706.5</v>
      </c>
      <c r="G81" s="8">
        <v>339980.2</v>
      </c>
      <c r="H81" s="8">
        <v>236387.40000000002</v>
      </c>
      <c r="I81" s="8">
        <v>128786.50000000003</v>
      </c>
      <c r="J81" s="8">
        <v>107600.9</v>
      </c>
      <c r="K81" s="8">
        <v>21883</v>
      </c>
      <c r="L81" s="8">
        <v>3973.6</v>
      </c>
      <c r="M81" s="8">
        <v>13360.9</v>
      </c>
      <c r="N81" s="8">
        <v>103592.8</v>
      </c>
      <c r="O81" s="8">
        <v>24669.3</v>
      </c>
      <c r="P81" s="8">
        <v>20381.5</v>
      </c>
      <c r="Q81" s="8">
        <v>10121.9</v>
      </c>
      <c r="R81" s="8">
        <v>10565.9</v>
      </c>
      <c r="S81" s="8">
        <v>726.2</v>
      </c>
      <c r="T81" s="8">
        <v>5558.3</v>
      </c>
      <c r="U81" s="8">
        <v>6410.5</v>
      </c>
      <c r="V81" s="8">
        <v>11135.5</v>
      </c>
      <c r="W81" s="9">
        <v>89491.199999999997</v>
      </c>
      <c r="X81" s="9">
        <v>767055.4</v>
      </c>
      <c r="Y81" s="8">
        <f t="shared" si="5"/>
        <v>3758894.3</v>
      </c>
      <c r="Z81" s="8">
        <f t="shared" si="6"/>
        <v>2020075.0999999999</v>
      </c>
      <c r="AA81" s="9">
        <v>610100.1</v>
      </c>
      <c r="AB81" s="9">
        <v>56496.5</v>
      </c>
      <c r="AC81" s="9">
        <v>762211.8</v>
      </c>
      <c r="AD81" s="9">
        <v>160053</v>
      </c>
      <c r="AE81" s="9">
        <v>431213.7</v>
      </c>
      <c r="AF81">
        <f t="shared" si="7"/>
        <v>1738819.2</v>
      </c>
      <c r="AG81" s="9">
        <v>1096682.5</v>
      </c>
      <c r="AH81" s="9">
        <v>593893.80000000005</v>
      </c>
      <c r="AI81" s="9">
        <v>48242.9</v>
      </c>
      <c r="AJ81" s="9">
        <v>6022900.9000000004</v>
      </c>
      <c r="AK81" s="9">
        <v>92619.9</v>
      </c>
      <c r="AL81">
        <v>275310.40000000002</v>
      </c>
      <c r="AM81" s="9">
        <v>6390831.0999999996</v>
      </c>
      <c r="AN81" s="8">
        <f t="shared" si="8"/>
        <v>5925135.5</v>
      </c>
    </row>
    <row r="82" spans="1:40" x14ac:dyDescent="0.25">
      <c r="A82" s="1">
        <f t="shared" si="9"/>
        <v>43983</v>
      </c>
      <c r="B82" s="8">
        <v>724696.2</v>
      </c>
      <c r="C82" s="8">
        <v>-120498.3</v>
      </c>
      <c r="D82" s="8">
        <v>256223.3</v>
      </c>
      <c r="E82" s="8">
        <v>247689.7</v>
      </c>
      <c r="F82" s="8">
        <v>8533.6</v>
      </c>
      <c r="G82" s="8">
        <v>285639.40000000002</v>
      </c>
      <c r="H82" s="8">
        <v>230270.7</v>
      </c>
      <c r="I82" s="8">
        <v>122494.00000000001</v>
      </c>
      <c r="J82" s="8">
        <v>107776.7</v>
      </c>
      <c r="K82" s="8">
        <v>18889.2</v>
      </c>
      <c r="L82" s="8">
        <v>3993.7</v>
      </c>
      <c r="M82" s="8">
        <v>12571.6</v>
      </c>
      <c r="N82" s="8">
        <v>55368.7</v>
      </c>
      <c r="O82" s="8">
        <v>25107.4</v>
      </c>
      <c r="P82" s="8">
        <v>19099.900000000001</v>
      </c>
      <c r="Q82" s="8">
        <v>9641</v>
      </c>
      <c r="R82" s="8">
        <v>11023.4</v>
      </c>
      <c r="S82" s="8">
        <v>701.9</v>
      </c>
      <c r="T82" s="8">
        <v>4194.2</v>
      </c>
      <c r="U82" s="8">
        <v>5583.2</v>
      </c>
      <c r="V82" s="8">
        <v>11688.4</v>
      </c>
      <c r="W82" s="9">
        <v>89300</v>
      </c>
      <c r="X82" s="9">
        <v>649485.9</v>
      </c>
      <c r="Y82" s="8">
        <f t="shared" si="5"/>
        <v>2413580.7000000002</v>
      </c>
      <c r="Z82" s="8">
        <f t="shared" si="6"/>
        <v>1873006.9</v>
      </c>
      <c r="AA82" s="9">
        <v>603972.9</v>
      </c>
      <c r="AB82" s="9">
        <v>25865.4</v>
      </c>
      <c r="AC82" s="9">
        <v>646563</v>
      </c>
      <c r="AD82" s="9">
        <v>158065.70000000001</v>
      </c>
      <c r="AE82" s="9">
        <v>438539.9</v>
      </c>
      <c r="AF82">
        <f t="shared" si="7"/>
        <v>540573.80000000005</v>
      </c>
      <c r="AG82" s="9">
        <v>300491</v>
      </c>
      <c r="AH82" s="9">
        <v>192585.4</v>
      </c>
      <c r="AI82" s="9">
        <v>47497.4</v>
      </c>
      <c r="AJ82" s="9">
        <v>4298427.2</v>
      </c>
      <c r="AK82" s="9">
        <v>82841.899999999994</v>
      </c>
      <c r="AL82">
        <v>246377.1</v>
      </c>
      <c r="AM82" s="9">
        <v>4627646.3</v>
      </c>
      <c r="AN82" s="8">
        <f t="shared" si="8"/>
        <v>4371423</v>
      </c>
    </row>
    <row r="83" spans="1:40" x14ac:dyDescent="0.25">
      <c r="A83" s="1">
        <f t="shared" si="9"/>
        <v>44075</v>
      </c>
      <c r="B83" s="48">
        <v>587354.6</v>
      </c>
      <c r="C83" s="8">
        <v>-125981</v>
      </c>
      <c r="D83" s="8">
        <v>342581.6</v>
      </c>
      <c r="E83" s="8">
        <v>333290.5</v>
      </c>
      <c r="F83" s="8">
        <v>9291.1</v>
      </c>
      <c r="G83" s="8">
        <v>343779.7</v>
      </c>
      <c r="H83" s="8">
        <v>230677.80000000002</v>
      </c>
      <c r="I83" s="8">
        <v>120411.60000000002</v>
      </c>
      <c r="J83" s="8">
        <v>110266.2</v>
      </c>
      <c r="K83" s="8">
        <v>17226.900000000001</v>
      </c>
      <c r="L83" s="8">
        <v>4054.7</v>
      </c>
      <c r="M83" s="8">
        <v>11955.5</v>
      </c>
      <c r="N83" s="8">
        <v>113101.9</v>
      </c>
      <c r="O83" s="8">
        <v>25543.7</v>
      </c>
      <c r="P83" s="8">
        <v>18593.099999999999</v>
      </c>
      <c r="Q83" s="8">
        <v>9803.1</v>
      </c>
      <c r="R83" s="8">
        <v>10794.3</v>
      </c>
      <c r="S83" s="8">
        <v>675.3</v>
      </c>
      <c r="T83" s="8">
        <v>4590.8</v>
      </c>
      <c r="U83" s="8">
        <v>5892.3</v>
      </c>
      <c r="V83" s="8">
        <v>11282</v>
      </c>
      <c r="W83" s="9">
        <v>89923.6</v>
      </c>
      <c r="X83" s="9">
        <v>814413.9</v>
      </c>
      <c r="Y83" s="8">
        <f t="shared" si="5"/>
        <v>2478318.3000000003</v>
      </c>
      <c r="Z83" s="8">
        <f t="shared" si="6"/>
        <v>1951773.6</v>
      </c>
      <c r="AA83" s="9">
        <v>605367.80000000005</v>
      </c>
      <c r="AB83" s="9">
        <v>42638.5</v>
      </c>
      <c r="AC83" s="9">
        <v>692441.5</v>
      </c>
      <c r="AD83" s="9">
        <v>164489.4</v>
      </c>
      <c r="AE83" s="9">
        <v>446836.4</v>
      </c>
      <c r="AF83">
        <f t="shared" si="7"/>
        <v>526544.70000000007</v>
      </c>
      <c r="AG83" s="9">
        <v>289443.90000000002</v>
      </c>
      <c r="AH83" s="9">
        <v>188198.9</v>
      </c>
      <c r="AI83" s="9">
        <v>48901.9</v>
      </c>
      <c r="AJ83" s="9">
        <v>4530390.8</v>
      </c>
      <c r="AK83" s="9">
        <v>80551.5</v>
      </c>
      <c r="AL83">
        <v>281683</v>
      </c>
      <c r="AM83" s="9">
        <v>4892625.3</v>
      </c>
      <c r="AN83" s="8">
        <f t="shared" si="8"/>
        <v>4550043.7</v>
      </c>
    </row>
    <row r="84" spans="1:40" x14ac:dyDescent="0.25">
      <c r="A84" s="1">
        <f t="shared" si="9"/>
        <v>44166</v>
      </c>
      <c r="B84" s="48">
        <v>647687.19999999995</v>
      </c>
      <c r="C84" s="8">
        <v>-111860.1</v>
      </c>
      <c r="D84" s="8">
        <v>478084.5</v>
      </c>
      <c r="E84" s="8">
        <v>469642.7</v>
      </c>
      <c r="F84" s="8">
        <v>8441.7999999999993</v>
      </c>
      <c r="G84" s="8">
        <v>343754.7</v>
      </c>
      <c r="H84" s="8">
        <v>242964.1</v>
      </c>
      <c r="I84" s="8">
        <v>131991</v>
      </c>
      <c r="J84" s="8">
        <v>110973.1</v>
      </c>
      <c r="K84" s="8">
        <v>16845</v>
      </c>
      <c r="L84" s="8">
        <v>4090</v>
      </c>
      <c r="M84" s="8">
        <v>12013</v>
      </c>
      <c r="N84" s="8">
        <v>100790.6</v>
      </c>
      <c r="O84" s="8">
        <v>25884.7</v>
      </c>
      <c r="P84" s="8">
        <v>18450.400000000001</v>
      </c>
      <c r="Q84" s="8">
        <v>11744</v>
      </c>
      <c r="R84" s="8">
        <v>14349.4</v>
      </c>
      <c r="S84" s="8">
        <v>784.6</v>
      </c>
      <c r="T84" s="8">
        <v>5960.7</v>
      </c>
      <c r="U84" s="8">
        <v>6963</v>
      </c>
      <c r="V84" s="8">
        <v>14906</v>
      </c>
      <c r="W84" s="9">
        <v>92383.2</v>
      </c>
      <c r="X84" s="9">
        <v>827773.9</v>
      </c>
      <c r="Y84" s="8">
        <f t="shared" si="5"/>
        <v>2386403.7000000002</v>
      </c>
      <c r="Z84" s="8">
        <f t="shared" si="6"/>
        <v>1805495.5</v>
      </c>
      <c r="AA84" s="9">
        <v>608197.19999999995</v>
      </c>
      <c r="AB84" s="9">
        <v>2201.6</v>
      </c>
      <c r="AC84" s="9">
        <v>589428.69999999995</v>
      </c>
      <c r="AD84" s="9">
        <v>148425</v>
      </c>
      <c r="AE84" s="9">
        <v>457243</v>
      </c>
      <c r="AF84">
        <f t="shared" si="7"/>
        <v>580908.19999999995</v>
      </c>
      <c r="AG84" s="9">
        <v>323935.59999999998</v>
      </c>
      <c r="AH84" s="9">
        <v>206578.8</v>
      </c>
      <c r="AI84" s="9">
        <v>50393.8</v>
      </c>
      <c r="AJ84" s="9">
        <v>4664227.0999999996</v>
      </c>
      <c r="AK84" s="9">
        <v>72707.7</v>
      </c>
      <c r="AL84">
        <v>254086.5</v>
      </c>
      <c r="AM84" s="9">
        <v>4991021.3</v>
      </c>
      <c r="AN84" s="8">
        <f t="shared" si="8"/>
        <v>4512936.8</v>
      </c>
    </row>
    <row r="85" spans="1:40" x14ac:dyDescent="0.25">
      <c r="A85" s="1">
        <f t="shared" si="9"/>
        <v>44256</v>
      </c>
      <c r="B85" s="48">
        <v>745140.5</v>
      </c>
      <c r="C85" s="8">
        <v>-119273.4</v>
      </c>
      <c r="D85" s="8">
        <v>586173.9</v>
      </c>
      <c r="E85" s="8">
        <v>576631.80000000005</v>
      </c>
      <c r="F85" s="8">
        <v>9542.1</v>
      </c>
      <c r="G85" s="8">
        <v>396162.9</v>
      </c>
      <c r="H85" s="8">
        <v>234727.60000000003</v>
      </c>
      <c r="I85" s="8">
        <v>126601.50000000003</v>
      </c>
      <c r="J85" s="8">
        <v>108126.1</v>
      </c>
      <c r="K85" s="8">
        <v>18890.3</v>
      </c>
      <c r="L85" s="8">
        <v>4335.3</v>
      </c>
      <c r="M85" s="8">
        <v>12232.7</v>
      </c>
      <c r="N85" s="8">
        <v>161435.29999999999</v>
      </c>
      <c r="O85" s="8">
        <v>24830.1</v>
      </c>
      <c r="P85" s="8">
        <v>18239</v>
      </c>
      <c r="Q85" s="8">
        <v>10665.8</v>
      </c>
      <c r="R85" s="8">
        <v>12016.3</v>
      </c>
      <c r="S85" s="8">
        <v>843.2</v>
      </c>
      <c r="T85" s="8">
        <v>5561.1</v>
      </c>
      <c r="U85" s="8">
        <v>6781.7</v>
      </c>
      <c r="V85" s="8">
        <v>12206</v>
      </c>
      <c r="W85" s="9">
        <v>90794.4</v>
      </c>
      <c r="X85" s="9">
        <v>805625.6</v>
      </c>
      <c r="Y85" s="8">
        <f t="shared" si="5"/>
        <v>3850393.4000000004</v>
      </c>
      <c r="Z85" s="8">
        <f t="shared" si="6"/>
        <v>2067519.1</v>
      </c>
      <c r="AA85" s="9">
        <v>635553.19999999995</v>
      </c>
      <c r="AB85" s="9">
        <v>51983.1</v>
      </c>
      <c r="AC85" s="9">
        <v>749729.4</v>
      </c>
      <c r="AD85" s="9">
        <v>158500</v>
      </c>
      <c r="AE85" s="9">
        <v>471753.4</v>
      </c>
      <c r="AF85">
        <f t="shared" si="7"/>
        <v>1782874.3</v>
      </c>
      <c r="AG85" s="9">
        <v>1120292</v>
      </c>
      <c r="AH85" s="9">
        <v>610121.5</v>
      </c>
      <c r="AI85" s="9">
        <v>52460.800000000003</v>
      </c>
      <c r="AJ85" s="9">
        <v>6355017.2999999998</v>
      </c>
      <c r="AK85" s="9">
        <v>82950.8</v>
      </c>
      <c r="AL85">
        <v>289677.7</v>
      </c>
      <c r="AM85" s="9">
        <v>6727645.7999999998</v>
      </c>
      <c r="AN85" s="8">
        <f t="shared" si="8"/>
        <v>6141471.8999999994</v>
      </c>
    </row>
    <row r="86" spans="1:40" x14ac:dyDescent="0.25">
      <c r="A86" s="1">
        <f t="shared" si="9"/>
        <v>44348</v>
      </c>
      <c r="B86" s="48">
        <v>747573.4</v>
      </c>
      <c r="C86" s="8">
        <v>-118144.2</v>
      </c>
      <c r="D86" s="8">
        <v>786500.6</v>
      </c>
      <c r="E86" s="8">
        <v>776184.7</v>
      </c>
      <c r="F86" s="8">
        <v>10315.9</v>
      </c>
      <c r="G86" s="8">
        <v>481457.4</v>
      </c>
      <c r="H86" s="8">
        <v>262615.10000000003</v>
      </c>
      <c r="I86" s="8">
        <v>141377.10000000003</v>
      </c>
      <c r="J86" s="8">
        <v>121238</v>
      </c>
      <c r="K86" s="8">
        <v>21333.7</v>
      </c>
      <c r="L86" s="8">
        <v>4557</v>
      </c>
      <c r="M86" s="8">
        <v>12655.6</v>
      </c>
      <c r="N86" s="8">
        <v>218842.3</v>
      </c>
      <c r="O86" s="8">
        <v>32189.3</v>
      </c>
      <c r="P86" s="8">
        <v>18601.2</v>
      </c>
      <c r="Q86" s="8">
        <v>11518.5</v>
      </c>
      <c r="R86" s="8">
        <v>13716</v>
      </c>
      <c r="S86" s="8">
        <v>893</v>
      </c>
      <c r="T86" s="8">
        <v>5496.2</v>
      </c>
      <c r="U86" s="8">
        <v>6850</v>
      </c>
      <c r="V86" s="8">
        <v>13566.7</v>
      </c>
      <c r="W86" s="9">
        <v>92085.6</v>
      </c>
      <c r="X86" s="9">
        <v>802376.3</v>
      </c>
      <c r="Y86" s="8">
        <f t="shared" si="5"/>
        <v>2679091.5</v>
      </c>
      <c r="Z86" s="8">
        <f t="shared" si="6"/>
        <v>2079727.1</v>
      </c>
      <c r="AA86" s="9">
        <v>668308.6</v>
      </c>
      <c r="AB86" s="9">
        <v>27908.2</v>
      </c>
      <c r="AC86" s="9">
        <v>739718.3</v>
      </c>
      <c r="AD86" s="9">
        <v>158653.4</v>
      </c>
      <c r="AE86" s="9">
        <v>485138.6</v>
      </c>
      <c r="AF86">
        <f t="shared" si="7"/>
        <v>599364.4</v>
      </c>
      <c r="AG86" s="9">
        <v>332308.3</v>
      </c>
      <c r="AH86" s="9">
        <v>212494.6</v>
      </c>
      <c r="AI86" s="9">
        <v>54561.5</v>
      </c>
      <c r="AJ86" s="9">
        <v>5470940.5</v>
      </c>
      <c r="AK86" s="9">
        <v>81441.899999999994</v>
      </c>
      <c r="AL86">
        <v>276568.59999999998</v>
      </c>
      <c r="AM86" s="9">
        <v>5828951.0999999996</v>
      </c>
      <c r="AN86" s="8">
        <f t="shared" si="8"/>
        <v>5042450.5</v>
      </c>
    </row>
    <row r="87" spans="1:40" x14ac:dyDescent="0.25">
      <c r="A87" s="1">
        <f t="shared" si="9"/>
        <v>44440</v>
      </c>
      <c r="B87" s="48">
        <v>635927.69999999995</v>
      </c>
      <c r="C87" s="8">
        <v>-120616.1</v>
      </c>
      <c r="D87" s="8">
        <v>792910</v>
      </c>
      <c r="E87" s="8">
        <v>782317.7</v>
      </c>
      <c r="F87" s="8">
        <v>10592.3</v>
      </c>
      <c r="G87" s="8">
        <v>523223.6</v>
      </c>
      <c r="H87" s="8">
        <v>264367.19999999995</v>
      </c>
      <c r="I87" s="8">
        <v>144250.69999999995</v>
      </c>
      <c r="J87" s="8">
        <v>120116.5</v>
      </c>
      <c r="K87" s="8">
        <v>22973.3</v>
      </c>
      <c r="L87" s="8">
        <v>4803.5</v>
      </c>
      <c r="M87" s="8">
        <v>12971.7</v>
      </c>
      <c r="N87" s="8">
        <v>258856.4</v>
      </c>
      <c r="O87" s="8">
        <v>30673.8</v>
      </c>
      <c r="P87" s="8">
        <v>19129.5</v>
      </c>
      <c r="Q87" s="8">
        <v>12097.4</v>
      </c>
      <c r="R87" s="8">
        <v>14259.2</v>
      </c>
      <c r="S87" s="8">
        <v>916.2</v>
      </c>
      <c r="T87" s="8">
        <v>5646.2</v>
      </c>
      <c r="U87" s="8">
        <v>7016.1</v>
      </c>
      <c r="V87" s="8">
        <v>13763.8</v>
      </c>
      <c r="W87" s="9">
        <v>96887.7</v>
      </c>
      <c r="X87" s="9">
        <v>876087.8</v>
      </c>
      <c r="Y87" s="8">
        <f t="shared" si="5"/>
        <v>2833789.0999999996</v>
      </c>
      <c r="Z87" s="8">
        <f t="shared" si="6"/>
        <v>2128670.6999999997</v>
      </c>
      <c r="AA87" s="9">
        <v>685321.1</v>
      </c>
      <c r="AB87" s="9">
        <v>56421.7</v>
      </c>
      <c r="AC87" s="9">
        <v>724522</v>
      </c>
      <c r="AD87" s="9">
        <v>162590.5</v>
      </c>
      <c r="AE87" s="9">
        <v>499815.4</v>
      </c>
      <c r="AF87">
        <f t="shared" si="7"/>
        <v>705118.4</v>
      </c>
      <c r="AG87" s="9">
        <v>400611.7</v>
      </c>
      <c r="AH87" s="9">
        <v>248380.79999999999</v>
      </c>
      <c r="AI87" s="9">
        <v>56125.9</v>
      </c>
      <c r="AJ87" s="9">
        <v>5638209.9000000004</v>
      </c>
      <c r="AK87" s="9">
        <v>82938.7</v>
      </c>
      <c r="AL87">
        <v>291391.5</v>
      </c>
      <c r="AM87" s="9">
        <v>6012540.0999999996</v>
      </c>
      <c r="AN87" s="8">
        <f t="shared" si="8"/>
        <v>5219630.0999999996</v>
      </c>
    </row>
    <row r="88" spans="1:40" x14ac:dyDescent="0.25">
      <c r="A88" s="1">
        <f t="shared" si="9"/>
        <v>44531</v>
      </c>
      <c r="B88" s="48">
        <v>697430.4</v>
      </c>
      <c r="C88" s="8">
        <v>-109437.2</v>
      </c>
      <c r="D88" s="8">
        <v>1094556.6000000001</v>
      </c>
      <c r="E88" s="8">
        <v>1081921.8999999999</v>
      </c>
      <c r="F88" s="8">
        <v>12634.7</v>
      </c>
      <c r="G88" s="8">
        <v>659092</v>
      </c>
      <c r="H88" s="8">
        <v>279779</v>
      </c>
      <c r="I88" s="8">
        <v>152930.70000000001</v>
      </c>
      <c r="J88" s="8">
        <v>126848.3</v>
      </c>
      <c r="K88" s="8">
        <v>25033.7</v>
      </c>
      <c r="L88" s="8">
        <v>5126.2</v>
      </c>
      <c r="M88" s="8">
        <v>13389</v>
      </c>
      <c r="N88" s="8">
        <v>379313</v>
      </c>
      <c r="O88" s="8">
        <v>32211.9</v>
      </c>
      <c r="P88" s="8">
        <v>19925.2</v>
      </c>
      <c r="Q88" s="8">
        <v>12988.4</v>
      </c>
      <c r="R88" s="8">
        <v>14771.5</v>
      </c>
      <c r="S88" s="8">
        <v>571.6</v>
      </c>
      <c r="T88" s="8">
        <v>6522.6</v>
      </c>
      <c r="U88" s="8">
        <v>7496.2</v>
      </c>
      <c r="V88" s="8">
        <v>14894.5</v>
      </c>
      <c r="W88" s="9">
        <v>94713.4</v>
      </c>
      <c r="X88" s="9">
        <v>957369.3</v>
      </c>
      <c r="Y88" s="8">
        <f t="shared" si="5"/>
        <v>2833001.8</v>
      </c>
      <c r="Z88" s="8">
        <f t="shared" si="6"/>
        <v>2108933</v>
      </c>
      <c r="AA88" s="9">
        <v>752095.1</v>
      </c>
      <c r="AB88" s="9">
        <v>67919</v>
      </c>
      <c r="AC88" s="9">
        <v>624513.19999999995</v>
      </c>
      <c r="AD88" s="9">
        <v>148726.1</v>
      </c>
      <c r="AE88" s="9">
        <v>515679.6</v>
      </c>
      <c r="AF88">
        <f t="shared" si="7"/>
        <v>724068.79999999993</v>
      </c>
      <c r="AG88" s="9">
        <v>411038.1</v>
      </c>
      <c r="AH88" s="9">
        <v>255333</v>
      </c>
      <c r="AI88" s="9">
        <v>57697.7</v>
      </c>
      <c r="AJ88" s="9">
        <v>6226726.2000000002</v>
      </c>
      <c r="AK88" s="9">
        <v>84968.5</v>
      </c>
      <c r="AL88">
        <v>272374.2</v>
      </c>
      <c r="AM88" s="9">
        <v>6584069</v>
      </c>
      <c r="AN88" s="8">
        <f t="shared" si="8"/>
        <v>5489512.4000000004</v>
      </c>
    </row>
    <row r="89" spans="1:40" s="14" customFormat="1" x14ac:dyDescent="0.25">
      <c r="A89" s="40">
        <f t="shared" si="9"/>
        <v>44621</v>
      </c>
      <c r="B89" s="49">
        <v>869985</v>
      </c>
      <c r="C89" s="45">
        <v>-121903.2</v>
      </c>
      <c r="D89" s="45">
        <v>1131625.3</v>
      </c>
      <c r="E89" s="45">
        <v>1117274.7</v>
      </c>
      <c r="F89" s="45">
        <v>14350.6</v>
      </c>
      <c r="G89" s="45">
        <v>751447</v>
      </c>
      <c r="H89" s="45">
        <v>296458.8</v>
      </c>
      <c r="I89" s="45">
        <v>155538.4</v>
      </c>
      <c r="J89" s="45">
        <v>140920.4</v>
      </c>
      <c r="K89" s="45">
        <v>28004.9</v>
      </c>
      <c r="L89" s="45">
        <v>5152.2</v>
      </c>
      <c r="M89" s="45">
        <v>11760.5</v>
      </c>
      <c r="N89" s="45">
        <v>454988.2</v>
      </c>
      <c r="O89" s="45">
        <v>32749.599999999999</v>
      </c>
      <c r="P89" s="45">
        <v>20903.599999999999</v>
      </c>
      <c r="Q89" s="45">
        <v>12955.5</v>
      </c>
      <c r="R89" s="45">
        <v>14975.6</v>
      </c>
      <c r="S89" s="45">
        <v>704.7</v>
      </c>
      <c r="T89" s="45">
        <v>5982.4</v>
      </c>
      <c r="U89" s="45">
        <v>7376.3</v>
      </c>
      <c r="V89" s="45">
        <v>14973</v>
      </c>
      <c r="W89" s="46">
        <v>97515.199999999997</v>
      </c>
      <c r="X89" s="46">
        <v>897958.2</v>
      </c>
      <c r="Y89" s="8">
        <f t="shared" si="5"/>
        <v>3636103.1</v>
      </c>
      <c r="Z89" s="8">
        <f t="shared" si="6"/>
        <v>2607439.5</v>
      </c>
      <c r="AA89" s="46">
        <v>1010760.7</v>
      </c>
      <c r="AB89" s="46">
        <v>86676.4</v>
      </c>
      <c r="AC89" s="46">
        <v>801102</v>
      </c>
      <c r="AD89" s="46">
        <v>164522.9</v>
      </c>
      <c r="AE89" s="46">
        <v>544377.5</v>
      </c>
      <c r="AF89">
        <f t="shared" si="7"/>
        <v>1028663.6000000001</v>
      </c>
      <c r="AG89" s="46">
        <v>607430.40000000002</v>
      </c>
      <c r="AH89" s="46">
        <v>358783.7</v>
      </c>
      <c r="AI89" s="46">
        <v>62449.5</v>
      </c>
      <c r="AJ89" s="46">
        <v>7262730.5999999996</v>
      </c>
      <c r="AK89" s="46">
        <v>84468.7</v>
      </c>
      <c r="AL89" s="14">
        <v>312048.59999999998</v>
      </c>
      <c r="AM89" s="46">
        <v>7659247.9000000004</v>
      </c>
      <c r="AN89" s="8">
        <f t="shared" si="8"/>
        <v>6527622.6000000006</v>
      </c>
    </row>
    <row r="90" spans="1:40" x14ac:dyDescent="0.25">
      <c r="A90" s="1">
        <f t="shared" si="9"/>
        <v>44713</v>
      </c>
      <c r="B90" s="48">
        <v>907971</v>
      </c>
      <c r="C90" s="8">
        <v>-122088.7</v>
      </c>
      <c r="D90" s="8">
        <v>1517705.4</v>
      </c>
      <c r="E90" s="8">
        <v>1497386.4</v>
      </c>
      <c r="F90" s="8">
        <v>20318.900000000001</v>
      </c>
      <c r="G90" s="8">
        <v>970192.8</v>
      </c>
      <c r="H90" s="8">
        <v>304400.5</v>
      </c>
      <c r="I90" s="8">
        <v>166731.79999999999</v>
      </c>
      <c r="J90" s="8">
        <v>137668.70000000001</v>
      </c>
      <c r="K90" s="8">
        <v>28544.9</v>
      </c>
      <c r="L90" s="8">
        <v>5133.8</v>
      </c>
      <c r="M90" s="8">
        <v>12318.5</v>
      </c>
      <c r="N90" s="8">
        <v>665792.30000000005</v>
      </c>
      <c r="O90" s="8">
        <v>35195</v>
      </c>
      <c r="P90" s="8">
        <v>21797.4</v>
      </c>
      <c r="Q90" s="8">
        <v>14080.2</v>
      </c>
      <c r="R90" s="8">
        <v>17145.2</v>
      </c>
      <c r="S90" s="8">
        <v>772</v>
      </c>
      <c r="T90" s="8">
        <v>6673.7</v>
      </c>
      <c r="U90" s="8">
        <v>8032</v>
      </c>
      <c r="V90" s="8">
        <v>17039.099999999999</v>
      </c>
      <c r="W90" s="9">
        <v>99572.5</v>
      </c>
      <c r="X90" s="9">
        <v>911308.9</v>
      </c>
      <c r="Y90" s="8">
        <f t="shared" si="5"/>
        <v>3446299.4</v>
      </c>
      <c r="Z90" s="8">
        <f t="shared" si="6"/>
        <v>2283892.5</v>
      </c>
      <c r="AA90" s="9">
        <v>700212.4</v>
      </c>
      <c r="AB90" s="9">
        <v>71580.899999999994</v>
      </c>
      <c r="AC90" s="9">
        <v>800013.5</v>
      </c>
      <c r="AD90" s="9">
        <v>164772</v>
      </c>
      <c r="AE90" s="9">
        <v>547313.69999999995</v>
      </c>
      <c r="AF90">
        <f t="shared" si="7"/>
        <v>1162406.8999999999</v>
      </c>
      <c r="AG90" s="9">
        <v>698363.2</v>
      </c>
      <c r="AH90" s="9">
        <v>406749.2</v>
      </c>
      <c r="AI90" s="9">
        <v>57294.5</v>
      </c>
      <c r="AJ90" s="9">
        <v>7730961.2000000002</v>
      </c>
      <c r="AK90" s="9">
        <v>81508.800000000003</v>
      </c>
      <c r="AL90">
        <v>290703.5</v>
      </c>
      <c r="AM90" s="9">
        <v>8103173.5</v>
      </c>
      <c r="AN90" s="8">
        <f t="shared" si="8"/>
        <v>6585468.0999999996</v>
      </c>
    </row>
    <row r="91" spans="1:40" x14ac:dyDescent="0.25">
      <c r="A91" s="1">
        <f>EDATE(A90,3)</f>
        <v>44805</v>
      </c>
      <c r="B91" s="48">
        <v>767935</v>
      </c>
      <c r="C91" s="8">
        <v>-126188.4</v>
      </c>
      <c r="D91" s="8">
        <v>1810675.8</v>
      </c>
      <c r="E91" s="8">
        <v>1788224.3</v>
      </c>
      <c r="F91" s="8">
        <v>22451.599999999999</v>
      </c>
      <c r="G91" s="8">
        <v>814387.7</v>
      </c>
      <c r="H91" s="8">
        <v>312162.79999999993</v>
      </c>
      <c r="I91" s="8">
        <v>171127.59999999992</v>
      </c>
      <c r="J91" s="8">
        <v>141035.20000000001</v>
      </c>
      <c r="K91" s="8">
        <v>27675.599999999999</v>
      </c>
      <c r="L91" s="8">
        <v>7391.4</v>
      </c>
      <c r="M91" s="8">
        <v>14940.3</v>
      </c>
      <c r="N91" s="8">
        <v>502224.9</v>
      </c>
      <c r="O91" s="8">
        <v>34556.9</v>
      </c>
      <c r="P91" s="8">
        <v>22321.9</v>
      </c>
      <c r="Q91" s="8">
        <v>14491.4</v>
      </c>
      <c r="R91" s="8">
        <v>17641.8</v>
      </c>
      <c r="S91" s="8">
        <v>1094</v>
      </c>
      <c r="T91" s="8">
        <v>5915.4</v>
      </c>
      <c r="U91" s="8">
        <v>7738</v>
      </c>
      <c r="V91" s="8">
        <v>17360.900000000001</v>
      </c>
      <c r="W91" s="9">
        <v>99209.9</v>
      </c>
      <c r="X91" s="9">
        <v>941767.5</v>
      </c>
      <c r="Y91" s="8">
        <f t="shared" si="5"/>
        <v>3572401.5</v>
      </c>
      <c r="Z91" s="8">
        <f t="shared" si="6"/>
        <v>2332392.7000000002</v>
      </c>
      <c r="AA91" s="9">
        <v>732974.3</v>
      </c>
      <c r="AB91" s="9">
        <v>125912.7</v>
      </c>
      <c r="AC91" s="9">
        <v>747160.2</v>
      </c>
      <c r="AD91" s="9">
        <v>169794.6</v>
      </c>
      <c r="AE91" s="9">
        <v>556550.9</v>
      </c>
      <c r="AF91">
        <f t="shared" si="7"/>
        <v>1240008.8</v>
      </c>
      <c r="AG91" s="9">
        <v>747136.4</v>
      </c>
      <c r="AH91" s="9">
        <v>432800.1</v>
      </c>
      <c r="AI91" s="9">
        <v>60072.3</v>
      </c>
      <c r="AJ91" s="9">
        <v>7880189.0999999996</v>
      </c>
      <c r="AK91" s="9">
        <v>83219.399999999994</v>
      </c>
      <c r="AL91">
        <v>323019.09999999998</v>
      </c>
      <c r="AM91" s="9">
        <v>8286427.5999999996</v>
      </c>
      <c r="AN91" s="8">
        <f t="shared" si="8"/>
        <v>6475751.7999999998</v>
      </c>
    </row>
    <row r="92" spans="1:40" x14ac:dyDescent="0.25">
      <c r="A92" s="1">
        <f t="shared" ref="A92:A104" si="10">EDATE(A91,3)</f>
        <v>44896</v>
      </c>
      <c r="B92" s="48">
        <v>864519</v>
      </c>
      <c r="C92" s="8">
        <v>-116652.7</v>
      </c>
      <c r="D92" s="8">
        <v>1818718.5</v>
      </c>
      <c r="E92" s="8">
        <v>1796495.6</v>
      </c>
      <c r="F92" s="8">
        <v>22222.9</v>
      </c>
      <c r="G92" s="8">
        <v>736745.5</v>
      </c>
      <c r="H92" s="8">
        <v>340821.9</v>
      </c>
      <c r="I92" s="8">
        <v>191965.2</v>
      </c>
      <c r="J92" s="8">
        <v>148856.70000000001</v>
      </c>
      <c r="K92" s="8">
        <v>33424.6</v>
      </c>
      <c r="L92" s="8">
        <v>5669.5</v>
      </c>
      <c r="M92" s="8">
        <v>18459.7</v>
      </c>
      <c r="N92" s="8">
        <v>395923.6</v>
      </c>
      <c r="O92" s="8">
        <v>37757.4</v>
      </c>
      <c r="P92" s="8">
        <v>23597.1</v>
      </c>
      <c r="Q92" s="8">
        <v>15506</v>
      </c>
      <c r="R92" s="8">
        <v>18862.400000000001</v>
      </c>
      <c r="S92" s="8">
        <v>1347.3</v>
      </c>
      <c r="T92" s="8">
        <v>8667.4</v>
      </c>
      <c r="U92" s="8">
        <v>9823.7000000000007</v>
      </c>
      <c r="V92" s="8">
        <v>18850</v>
      </c>
      <c r="W92" s="9">
        <v>99501.5</v>
      </c>
      <c r="X92" s="9">
        <v>1091894.3999999999</v>
      </c>
      <c r="Y92" s="8">
        <f t="shared" si="5"/>
        <v>3037459.9000000004</v>
      </c>
      <c r="Z92" s="8">
        <f t="shared" si="6"/>
        <v>2182165.1</v>
      </c>
      <c r="AA92" s="9">
        <v>721577.6</v>
      </c>
      <c r="AB92" s="9">
        <v>63829.9</v>
      </c>
      <c r="AC92" s="9">
        <v>659558.30000000005</v>
      </c>
      <c r="AD92" s="9">
        <v>159573.4</v>
      </c>
      <c r="AE92" s="9">
        <v>577625.9</v>
      </c>
      <c r="AF92">
        <f t="shared" si="7"/>
        <v>855294.8</v>
      </c>
      <c r="AG92" s="9">
        <v>486343</v>
      </c>
      <c r="AH92" s="9">
        <v>300792</v>
      </c>
      <c r="AI92" s="9">
        <v>68159.8</v>
      </c>
      <c r="AJ92" s="9">
        <v>7532186.0999999996</v>
      </c>
      <c r="AK92" s="9">
        <v>89116.1</v>
      </c>
      <c r="AL92">
        <v>361308.8</v>
      </c>
      <c r="AM92" s="9">
        <v>7982611</v>
      </c>
      <c r="AN92" s="8">
        <f t="shared" si="8"/>
        <v>6163892.5</v>
      </c>
    </row>
    <row r="93" spans="1:40" x14ac:dyDescent="0.25">
      <c r="A93" s="1">
        <f t="shared" si="10"/>
        <v>44986</v>
      </c>
      <c r="B93" s="48">
        <v>1111296.1000000001</v>
      </c>
      <c r="C93" s="8">
        <v>-155895.20000000001</v>
      </c>
      <c r="D93" s="8">
        <v>1183670</v>
      </c>
      <c r="E93" s="8">
        <v>1165739.8999999999</v>
      </c>
      <c r="F93" s="8">
        <v>17930.099999999999</v>
      </c>
      <c r="G93" s="8">
        <v>738113.6</v>
      </c>
      <c r="H93" s="8">
        <v>332345.69999999995</v>
      </c>
      <c r="I93" s="8">
        <v>182054.29999999996</v>
      </c>
      <c r="J93" s="8">
        <v>150291.4</v>
      </c>
      <c r="K93" s="8">
        <v>33322.699999999997</v>
      </c>
      <c r="L93" s="8">
        <v>5801.9</v>
      </c>
      <c r="M93" s="8">
        <v>16890.3</v>
      </c>
      <c r="N93" s="8">
        <v>405767.9</v>
      </c>
      <c r="O93" s="8">
        <v>35191.599999999999</v>
      </c>
      <c r="P93" s="8">
        <v>25949</v>
      </c>
      <c r="Q93" s="8">
        <v>14284.8</v>
      </c>
      <c r="R93" s="8">
        <v>15305.8</v>
      </c>
      <c r="S93" s="8">
        <v>923.9</v>
      </c>
      <c r="T93" s="8">
        <v>7417</v>
      </c>
      <c r="U93" s="8">
        <v>8987.1</v>
      </c>
      <c r="V93" s="8">
        <v>17980</v>
      </c>
      <c r="W93" s="9">
        <v>103167.6</v>
      </c>
      <c r="X93" s="9">
        <v>1047502</v>
      </c>
      <c r="Y93" s="8">
        <f t="shared" si="5"/>
        <v>4126160.6</v>
      </c>
      <c r="Z93" s="8">
        <f t="shared" si="6"/>
        <v>2900262.1</v>
      </c>
      <c r="AA93" s="9">
        <v>1135349.1000000001</v>
      </c>
      <c r="AB93" s="9">
        <v>104894.3</v>
      </c>
      <c r="AC93" s="9">
        <v>857689.1</v>
      </c>
      <c r="AD93" s="9">
        <v>209720.5</v>
      </c>
      <c r="AE93" s="9">
        <v>592609.1</v>
      </c>
      <c r="AF93">
        <f t="shared" si="7"/>
        <v>1225898.5</v>
      </c>
      <c r="AG93" s="9">
        <v>731639.9</v>
      </c>
      <c r="AH93" s="9">
        <v>424466.7</v>
      </c>
      <c r="AI93" s="9">
        <v>69791.899999999994</v>
      </c>
      <c r="AJ93" s="9">
        <v>8154014.7000000002</v>
      </c>
      <c r="AK93" s="9">
        <v>81931.600000000006</v>
      </c>
      <c r="AL93">
        <v>330579.09999999998</v>
      </c>
      <c r="AM93" s="9">
        <v>8566525.3000000007</v>
      </c>
      <c r="AN93" s="8">
        <f t="shared" si="8"/>
        <v>7382855.3000000007</v>
      </c>
    </row>
    <row r="94" spans="1:40" x14ac:dyDescent="0.25">
      <c r="A94" s="1">
        <f t="shared" si="10"/>
        <v>45078</v>
      </c>
      <c r="B94" s="48">
        <v>1235881.3999999999</v>
      </c>
      <c r="C94" s="8">
        <v>-141085.1</v>
      </c>
      <c r="D94" s="8">
        <v>1148613</v>
      </c>
      <c r="E94" s="8">
        <v>1130003.2</v>
      </c>
      <c r="F94" s="8">
        <v>18609.900000000001</v>
      </c>
      <c r="G94" s="8">
        <v>844473.5</v>
      </c>
      <c r="H94" s="8">
        <v>335589.9</v>
      </c>
      <c r="I94" s="8">
        <v>188784.50000000003</v>
      </c>
      <c r="J94" s="8">
        <v>146805.4</v>
      </c>
      <c r="K94" s="8">
        <v>35089</v>
      </c>
      <c r="L94" s="8">
        <v>5890.3</v>
      </c>
      <c r="M94" s="8">
        <v>15139</v>
      </c>
      <c r="N94" s="8">
        <v>508883.6</v>
      </c>
      <c r="O94" s="8">
        <v>37208.800000000003</v>
      </c>
      <c r="P94" s="8">
        <v>25995.8</v>
      </c>
      <c r="Q94" s="8">
        <v>15387.3</v>
      </c>
      <c r="R94" s="8">
        <v>18055</v>
      </c>
      <c r="S94" s="8">
        <v>1005</v>
      </c>
      <c r="T94" s="8">
        <v>8004.6</v>
      </c>
      <c r="U94" s="8">
        <v>8908.4</v>
      </c>
      <c r="V94" s="8">
        <v>18101</v>
      </c>
      <c r="W94" s="9">
        <v>103406.7</v>
      </c>
      <c r="X94" s="9">
        <v>1067191.3999999999</v>
      </c>
      <c r="Y94" s="8">
        <f t="shared" si="5"/>
        <v>3659493.4000000004</v>
      </c>
      <c r="Z94" s="8">
        <f t="shared" si="6"/>
        <v>2498336.7000000002</v>
      </c>
      <c r="AA94" s="9">
        <v>766640.7</v>
      </c>
      <c r="AB94" s="9">
        <v>81948.399999999994</v>
      </c>
      <c r="AC94" s="9">
        <v>869827.9</v>
      </c>
      <c r="AD94" s="9">
        <v>192305.8</v>
      </c>
      <c r="AE94" s="9">
        <v>587613.9</v>
      </c>
      <c r="AF94">
        <f t="shared" si="7"/>
        <v>1161156.7</v>
      </c>
      <c r="AG94" s="9">
        <v>695463.8</v>
      </c>
      <c r="AH94" s="9">
        <v>406930.5</v>
      </c>
      <c r="AI94" s="9">
        <v>58762.400000000001</v>
      </c>
      <c r="AJ94" s="9">
        <v>7917974.2000000002</v>
      </c>
      <c r="AK94" s="9">
        <v>84001.600000000006</v>
      </c>
      <c r="AL94">
        <v>292373.2</v>
      </c>
      <c r="AM94" s="9">
        <v>8294349</v>
      </c>
      <c r="AN94" s="8">
        <f t="shared" si="8"/>
        <v>7145736</v>
      </c>
    </row>
    <row r="95" spans="1:40" x14ac:dyDescent="0.25">
      <c r="A95" s="1">
        <f t="shared" si="10"/>
        <v>45170</v>
      </c>
      <c r="B95" s="48">
        <v>1038558.3</v>
      </c>
      <c r="C95" s="8">
        <v>-161643.6</v>
      </c>
      <c r="D95" s="8">
        <v>1281606.3999999999</v>
      </c>
      <c r="E95" s="8">
        <v>1255812.6000000001</v>
      </c>
      <c r="F95" s="8">
        <v>25793.7</v>
      </c>
      <c r="G95" s="8">
        <v>766260.3</v>
      </c>
      <c r="H95" s="8">
        <v>348327.4</v>
      </c>
      <c r="I95" s="8">
        <v>197318.30000000002</v>
      </c>
      <c r="J95" s="8">
        <v>151009.1</v>
      </c>
      <c r="K95" s="8">
        <v>34319</v>
      </c>
      <c r="L95" s="8">
        <v>8588</v>
      </c>
      <c r="M95" s="8">
        <v>16988.599999999999</v>
      </c>
      <c r="N95" s="8">
        <v>417932.9</v>
      </c>
      <c r="O95" s="8">
        <v>36915.4</v>
      </c>
      <c r="P95" s="8">
        <v>27189.1</v>
      </c>
      <c r="Q95" s="8">
        <v>16021</v>
      </c>
      <c r="R95" s="8">
        <v>19251</v>
      </c>
      <c r="S95" s="8">
        <v>1310</v>
      </c>
      <c r="T95" s="8">
        <v>7010.9</v>
      </c>
      <c r="U95" s="8">
        <v>9105.1</v>
      </c>
      <c r="V95" s="8">
        <v>20620.099999999999</v>
      </c>
      <c r="W95" s="9">
        <v>111723.6</v>
      </c>
      <c r="X95" s="9">
        <v>1039466.4</v>
      </c>
      <c r="Y95" s="8">
        <f t="shared" si="5"/>
        <v>4180881.5</v>
      </c>
      <c r="Z95" s="8">
        <f t="shared" si="6"/>
        <v>2635938.5</v>
      </c>
      <c r="AA95" s="9">
        <v>833607.9</v>
      </c>
      <c r="AB95" s="9">
        <v>187684.8</v>
      </c>
      <c r="AC95" s="9">
        <v>790773.3</v>
      </c>
      <c r="AD95" s="9">
        <v>217267.4</v>
      </c>
      <c r="AE95" s="9">
        <v>606605.1</v>
      </c>
      <c r="AF95">
        <f t="shared" si="7"/>
        <v>1544943</v>
      </c>
      <c r="AG95" s="9">
        <v>949782.3</v>
      </c>
      <c r="AH95" s="9">
        <v>534691.19999999995</v>
      </c>
      <c r="AI95" s="9">
        <v>60469.5</v>
      </c>
      <c r="AJ95" s="9">
        <v>8256852.9000000004</v>
      </c>
      <c r="AK95" s="9">
        <v>92355.3</v>
      </c>
      <c r="AL95">
        <v>387850</v>
      </c>
      <c r="AM95" s="9">
        <v>8737058.1999999993</v>
      </c>
      <c r="AN95" s="8">
        <f t="shared" si="8"/>
        <v>7455451.7999999989</v>
      </c>
    </row>
    <row r="96" spans="1:40" ht="15.75" customHeight="1" x14ac:dyDescent="0.25">
      <c r="A96" s="1">
        <f t="shared" si="10"/>
        <v>45261</v>
      </c>
      <c r="B96" s="48">
        <v>1116853.3</v>
      </c>
      <c r="C96" s="8">
        <v>-151081.1</v>
      </c>
      <c r="D96" s="8">
        <v>1217587.5</v>
      </c>
      <c r="E96" s="8">
        <v>1193484.2</v>
      </c>
      <c r="F96" s="8">
        <v>24103.3</v>
      </c>
      <c r="G96" s="8">
        <v>722712.7</v>
      </c>
      <c r="H96" s="8">
        <v>364953.1</v>
      </c>
      <c r="I96" s="8">
        <v>210664.09999999998</v>
      </c>
      <c r="J96" s="8">
        <v>154289</v>
      </c>
      <c r="K96" s="8">
        <v>37435.300000000003</v>
      </c>
      <c r="L96" s="8">
        <v>6654.8</v>
      </c>
      <c r="M96" s="8">
        <v>19961.099999999999</v>
      </c>
      <c r="N96" s="8">
        <v>357759.6</v>
      </c>
      <c r="O96" s="8">
        <v>38870.199999999997</v>
      </c>
      <c r="P96" s="8">
        <v>27955</v>
      </c>
      <c r="Q96" s="8">
        <v>16909.900000000001</v>
      </c>
      <c r="R96" s="8">
        <v>20088.099999999999</v>
      </c>
      <c r="S96" s="8">
        <v>1601</v>
      </c>
      <c r="T96" s="8">
        <v>7814.5</v>
      </c>
      <c r="U96" s="8">
        <v>10806.3</v>
      </c>
      <c r="V96" s="8">
        <v>22567.9</v>
      </c>
      <c r="W96" s="9">
        <v>109482.1</v>
      </c>
      <c r="X96" s="9">
        <v>1160588.3</v>
      </c>
      <c r="Y96" s="8">
        <f t="shared" si="5"/>
        <v>3373334.5</v>
      </c>
      <c r="Z96" s="8">
        <f t="shared" si="6"/>
        <v>2409207.6</v>
      </c>
      <c r="AA96" s="9">
        <v>808015.3</v>
      </c>
      <c r="AB96" s="9">
        <v>84860.5</v>
      </c>
      <c r="AC96" s="9">
        <v>685066.7</v>
      </c>
      <c r="AD96" s="9">
        <v>204904.2</v>
      </c>
      <c r="AE96" s="9">
        <v>626360.9</v>
      </c>
      <c r="AF96">
        <f t="shared" si="7"/>
        <v>964126.89999999991</v>
      </c>
      <c r="AG96" s="9">
        <v>556828</v>
      </c>
      <c r="AH96" s="9">
        <v>338965.7</v>
      </c>
      <c r="AI96" s="9">
        <v>68333.2</v>
      </c>
      <c r="AJ96" s="9">
        <v>7549477.2000000002</v>
      </c>
      <c r="AK96" s="9">
        <v>95796.6</v>
      </c>
      <c r="AL96">
        <v>435501.7</v>
      </c>
      <c r="AM96" s="9">
        <v>8080775.5</v>
      </c>
      <c r="AN96" s="8">
        <f t="shared" si="8"/>
        <v>6863188</v>
      </c>
    </row>
    <row r="97" spans="1:40" s="14" customFormat="1" x14ac:dyDescent="0.25">
      <c r="A97" s="40">
        <f t="shared" si="10"/>
        <v>45352</v>
      </c>
      <c r="B97" s="49">
        <v>1231279.8999999999</v>
      </c>
      <c r="C97" s="45">
        <v>-179866.8</v>
      </c>
      <c r="D97" s="45">
        <v>1053854.8</v>
      </c>
      <c r="E97" s="45">
        <v>1036145.1</v>
      </c>
      <c r="F97" s="45">
        <v>17709.7</v>
      </c>
      <c r="G97" s="45">
        <v>821297</v>
      </c>
      <c r="H97" s="45">
        <v>368896.4</v>
      </c>
      <c r="I97" s="45">
        <v>205943.00000000003</v>
      </c>
      <c r="J97" s="45">
        <v>162953.4</v>
      </c>
      <c r="K97" s="45">
        <v>38078.9</v>
      </c>
      <c r="L97" s="45">
        <v>6501.5</v>
      </c>
      <c r="M97" s="45">
        <v>16823.5</v>
      </c>
      <c r="N97" s="45">
        <v>452400.6</v>
      </c>
      <c r="O97" s="45">
        <v>41530.1</v>
      </c>
      <c r="P97" s="45">
        <v>27849.9</v>
      </c>
      <c r="Q97" s="45">
        <v>17849.5</v>
      </c>
      <c r="R97" s="45">
        <v>18220.599999999999</v>
      </c>
      <c r="S97" s="45">
        <v>1162.7</v>
      </c>
      <c r="T97" s="45">
        <v>8555.7999999999993</v>
      </c>
      <c r="U97" s="45">
        <v>9168.4</v>
      </c>
      <c r="V97" s="45">
        <v>20202.2</v>
      </c>
      <c r="W97" s="46">
        <v>110316.8</v>
      </c>
      <c r="X97" s="46">
        <v>1184994.8999999999</v>
      </c>
      <c r="Y97" s="8">
        <f t="shared" si="5"/>
        <v>4655377.3000000007</v>
      </c>
      <c r="Z97" s="8">
        <f t="shared" si="6"/>
        <v>3218524.8000000003</v>
      </c>
      <c r="AA97" s="46">
        <v>1316628.5</v>
      </c>
      <c r="AB97" s="46">
        <v>126716.1</v>
      </c>
      <c r="AC97" s="46">
        <v>887978.4</v>
      </c>
      <c r="AD97" s="46">
        <v>243426.7</v>
      </c>
      <c r="AE97" s="46">
        <v>643775.1</v>
      </c>
      <c r="AF97">
        <f t="shared" si="7"/>
        <v>1436852.5</v>
      </c>
      <c r="AG97" s="46">
        <v>861516.80000000005</v>
      </c>
      <c r="AH97" s="46">
        <v>501080.6</v>
      </c>
      <c r="AI97" s="46">
        <v>74255.100000000006</v>
      </c>
      <c r="AJ97" s="46">
        <v>8877253.9000000004</v>
      </c>
      <c r="AK97" s="46">
        <v>84933.6</v>
      </c>
      <c r="AL97" s="14">
        <v>335849.1</v>
      </c>
      <c r="AM97" s="46">
        <v>9298036.5999999996</v>
      </c>
      <c r="AN97" s="8">
        <f t="shared" si="8"/>
        <v>8244181.7999999998</v>
      </c>
    </row>
    <row r="98" spans="1:40" x14ac:dyDescent="0.25">
      <c r="A98" s="1">
        <f t="shared" si="10"/>
        <v>45444</v>
      </c>
      <c r="B98" s="48">
        <v>1355763</v>
      </c>
      <c r="C98">
        <v>-163732.20000000001</v>
      </c>
      <c r="D98" s="8">
        <v>1154929.1000000001</v>
      </c>
      <c r="E98">
        <v>1136112.1000000001</v>
      </c>
      <c r="F98">
        <v>18817</v>
      </c>
      <c r="G98" s="8">
        <v>964793.1</v>
      </c>
      <c r="H98" s="8">
        <v>380928.69999999995</v>
      </c>
      <c r="I98" s="8">
        <v>216851.99999999994</v>
      </c>
      <c r="J98">
        <v>164076.70000000001</v>
      </c>
      <c r="K98">
        <v>42965.1</v>
      </c>
      <c r="L98">
        <v>7495.1</v>
      </c>
      <c r="M98">
        <v>17899</v>
      </c>
      <c r="N98">
        <v>583864.4</v>
      </c>
      <c r="O98">
        <v>44780.1</v>
      </c>
      <c r="P98">
        <v>26959.1</v>
      </c>
      <c r="Q98">
        <v>17747.400000000001</v>
      </c>
      <c r="R98">
        <v>20179.3</v>
      </c>
      <c r="S98">
        <v>858.6</v>
      </c>
      <c r="T98">
        <v>8497.4</v>
      </c>
      <c r="U98">
        <v>8733.7999999999993</v>
      </c>
      <c r="V98">
        <v>20737</v>
      </c>
      <c r="W98">
        <v>109593.2</v>
      </c>
      <c r="X98">
        <v>1174555.3999999999</v>
      </c>
      <c r="Y98" s="8">
        <f t="shared" si="5"/>
        <v>3979154.5</v>
      </c>
      <c r="Z98" s="8">
        <f t="shared" si="6"/>
        <v>2745445</v>
      </c>
      <c r="AA98">
        <v>863961.7</v>
      </c>
      <c r="AB98">
        <v>97437.4</v>
      </c>
      <c r="AC98">
        <v>913467.1</v>
      </c>
      <c r="AD98">
        <v>226736</v>
      </c>
      <c r="AE98">
        <v>643842.80000000005</v>
      </c>
      <c r="AF98">
        <f t="shared" si="7"/>
        <v>1233709.5000000002</v>
      </c>
      <c r="AG98">
        <v>744196.8</v>
      </c>
      <c r="AH98">
        <v>427225.9</v>
      </c>
      <c r="AI98">
        <v>62286.8</v>
      </c>
      <c r="AJ98">
        <v>8575056.0999999996</v>
      </c>
      <c r="AK98">
        <v>87497.7</v>
      </c>
      <c r="AL98">
        <v>291525.2</v>
      </c>
      <c r="AM98">
        <v>8954079.0999999996</v>
      </c>
      <c r="AN98" s="8">
        <f t="shared" si="8"/>
        <v>7799150</v>
      </c>
    </row>
    <row r="99" spans="1:40" x14ac:dyDescent="0.25">
      <c r="A99" s="1">
        <f t="shared" si="10"/>
        <v>45536</v>
      </c>
      <c r="B99" s="48">
        <v>1190953.2</v>
      </c>
      <c r="C99">
        <v>-187952.5</v>
      </c>
      <c r="D99" s="8">
        <v>1056560.7</v>
      </c>
      <c r="E99">
        <v>1030695.6</v>
      </c>
      <c r="F99">
        <v>25865.1</v>
      </c>
      <c r="G99" s="8">
        <v>848385.9</v>
      </c>
      <c r="H99" s="8">
        <v>417185.60000000003</v>
      </c>
      <c r="I99" s="8">
        <v>235433.50000000003</v>
      </c>
      <c r="J99">
        <v>181752.1</v>
      </c>
      <c r="K99">
        <v>43758.2</v>
      </c>
      <c r="L99">
        <v>10155.1</v>
      </c>
      <c r="M99">
        <v>18500.2</v>
      </c>
      <c r="N99">
        <v>431200.3</v>
      </c>
      <c r="O99">
        <v>49544</v>
      </c>
      <c r="P99">
        <v>31404.7</v>
      </c>
      <c r="Q99">
        <v>19087.599999999999</v>
      </c>
      <c r="R99">
        <v>22437.5</v>
      </c>
      <c r="S99">
        <v>1166.8</v>
      </c>
      <c r="T99">
        <v>7947.4</v>
      </c>
      <c r="U99">
        <v>8973.7999999999993</v>
      </c>
      <c r="V99">
        <v>22458.3</v>
      </c>
      <c r="W99">
        <v>118525.2</v>
      </c>
      <c r="X99">
        <v>1163423.8</v>
      </c>
      <c r="Y99" s="8">
        <f t="shared" si="5"/>
        <v>4578279.9000000004</v>
      </c>
      <c r="Z99" s="8">
        <f t="shared" si="6"/>
        <v>2924516.5</v>
      </c>
      <c r="AA99">
        <v>936787</v>
      </c>
      <c r="AB99">
        <v>221667.1</v>
      </c>
      <c r="AC99">
        <v>860356.2</v>
      </c>
      <c r="AD99">
        <v>242110.3</v>
      </c>
      <c r="AE99">
        <v>663595.9</v>
      </c>
      <c r="AF99">
        <f t="shared" si="7"/>
        <v>1653763.4000000001</v>
      </c>
      <c r="AG99">
        <v>1020365</v>
      </c>
      <c r="AH99">
        <v>570668.80000000005</v>
      </c>
      <c r="AI99">
        <v>62729.599999999999</v>
      </c>
      <c r="AJ99">
        <v>8768176.5</v>
      </c>
      <c r="AK99">
        <v>95965.8</v>
      </c>
      <c r="AL99">
        <v>411189.3</v>
      </c>
      <c r="AM99">
        <v>9275331.5999999996</v>
      </c>
      <c r="AN99" s="8">
        <f t="shared" si="8"/>
        <v>8218770.8999999994</v>
      </c>
    </row>
    <row r="100" spans="1:40" x14ac:dyDescent="0.25">
      <c r="A100" s="1">
        <f t="shared" si="10"/>
        <v>45627</v>
      </c>
      <c r="B100" s="48">
        <v>1261949.8</v>
      </c>
      <c r="C100">
        <v>-175314.5</v>
      </c>
      <c r="D100" s="8">
        <v>1128595.3999999999</v>
      </c>
      <c r="E100">
        <v>1100535.2</v>
      </c>
      <c r="F100">
        <v>28060.2</v>
      </c>
      <c r="G100" s="8">
        <v>778976</v>
      </c>
      <c r="H100" s="8">
        <v>416968.2</v>
      </c>
      <c r="I100" s="8">
        <v>244368.40000000002</v>
      </c>
      <c r="J100">
        <v>172599.8</v>
      </c>
      <c r="K100">
        <v>44231.8</v>
      </c>
      <c r="L100">
        <v>7463.4</v>
      </c>
      <c r="M100">
        <v>22138.3</v>
      </c>
      <c r="N100">
        <v>362007.8</v>
      </c>
      <c r="O100">
        <v>49489.7</v>
      </c>
      <c r="P100">
        <v>30224.3</v>
      </c>
      <c r="Q100">
        <v>20632.400000000001</v>
      </c>
      <c r="R100">
        <v>23249.599999999999</v>
      </c>
      <c r="S100">
        <v>1679.9</v>
      </c>
      <c r="T100">
        <v>8840.5</v>
      </c>
      <c r="U100">
        <v>10682.1</v>
      </c>
      <c r="V100">
        <v>25736.5</v>
      </c>
      <c r="W100">
        <v>118238.8</v>
      </c>
      <c r="X100">
        <v>1280875.8999999999</v>
      </c>
      <c r="Y100" s="8">
        <f t="shared" si="5"/>
        <v>3681827</v>
      </c>
      <c r="Z100" s="8">
        <f t="shared" si="6"/>
        <v>2653731.5</v>
      </c>
      <c r="AA100">
        <v>915098.8</v>
      </c>
      <c r="AB100">
        <v>101531.3</v>
      </c>
      <c r="AC100">
        <v>720549.3</v>
      </c>
      <c r="AD100">
        <v>229556.9</v>
      </c>
      <c r="AE100">
        <v>686995.2</v>
      </c>
      <c r="AF100">
        <f t="shared" si="7"/>
        <v>1028095.5000000001</v>
      </c>
      <c r="AG100">
        <v>597186.4</v>
      </c>
      <c r="AH100">
        <v>359140.7</v>
      </c>
      <c r="AI100">
        <v>71768.399999999994</v>
      </c>
      <c r="AJ100">
        <v>8075148.5</v>
      </c>
      <c r="AK100">
        <v>99437.8</v>
      </c>
      <c r="AL100">
        <v>401491.4</v>
      </c>
      <c r="AM100">
        <v>8576077.6999999993</v>
      </c>
      <c r="AN100" s="8">
        <f t="shared" si="8"/>
        <v>7447482.2999999989</v>
      </c>
    </row>
    <row r="101" spans="1:40" x14ac:dyDescent="0.25">
      <c r="A101" s="1">
        <f t="shared" si="10"/>
        <v>45717</v>
      </c>
      <c r="B101" s="48">
        <v>1408190.2</v>
      </c>
      <c r="C101">
        <v>-196878.9</v>
      </c>
      <c r="D101">
        <v>1046895.1</v>
      </c>
      <c r="E101">
        <v>1028654.7</v>
      </c>
      <c r="F101">
        <v>18240.3</v>
      </c>
      <c r="G101">
        <v>823226.8</v>
      </c>
      <c r="H101">
        <v>399027.10000000003</v>
      </c>
      <c r="I101">
        <v>228862.50000000003</v>
      </c>
      <c r="J101">
        <v>170164.6</v>
      </c>
      <c r="K101">
        <v>44730.8</v>
      </c>
      <c r="L101">
        <v>7732.5</v>
      </c>
      <c r="M101">
        <v>17770.5</v>
      </c>
      <c r="N101">
        <v>424199.7</v>
      </c>
      <c r="O101">
        <v>42675.9</v>
      </c>
      <c r="P101">
        <v>31806.799999999999</v>
      </c>
      <c r="Q101">
        <v>19254.099999999999</v>
      </c>
      <c r="R101">
        <v>19359</v>
      </c>
      <c r="S101">
        <v>1273.5999999999999</v>
      </c>
      <c r="T101">
        <v>9043.1</v>
      </c>
      <c r="U101">
        <v>10470.5</v>
      </c>
      <c r="V101">
        <v>24746</v>
      </c>
      <c r="W101">
        <v>115926.39999999999</v>
      </c>
      <c r="X101">
        <v>1293548.3</v>
      </c>
      <c r="Y101" s="8">
        <f t="shared" si="5"/>
        <v>5066429.0999999996</v>
      </c>
      <c r="Z101" s="8">
        <f t="shared" si="6"/>
        <v>3726885.8</v>
      </c>
      <c r="AA101">
        <v>1607149.9</v>
      </c>
      <c r="AB101">
        <v>148099.20000000001</v>
      </c>
      <c r="AC101">
        <v>970690.9</v>
      </c>
      <c r="AD101">
        <v>266865</v>
      </c>
      <c r="AE101">
        <v>734080.8</v>
      </c>
      <c r="AF101">
        <f t="shared" si="7"/>
        <v>1339543.3</v>
      </c>
      <c r="AG101">
        <v>793666.5</v>
      </c>
      <c r="AH101">
        <v>465551.1</v>
      </c>
      <c r="AI101">
        <v>80325.7</v>
      </c>
      <c r="AJ101">
        <v>9557337.1999999993</v>
      </c>
      <c r="AK101">
        <v>95411.3</v>
      </c>
      <c r="AL101">
        <v>370590.6</v>
      </c>
      <c r="AM101">
        <v>10023339.1</v>
      </c>
      <c r="AN101" s="8">
        <f t="shared" si="8"/>
        <v>8976444</v>
      </c>
    </row>
    <row r="102" spans="1:40" x14ac:dyDescent="0.25">
      <c r="A102" s="1">
        <f t="shared" si="10"/>
        <v>45809</v>
      </c>
      <c r="B102" s="48">
        <v>1418472.5</v>
      </c>
      <c r="C102">
        <v>-182071.9</v>
      </c>
      <c r="D102">
        <v>1007876.3</v>
      </c>
      <c r="E102">
        <v>987569</v>
      </c>
      <c r="F102">
        <v>20307.3</v>
      </c>
      <c r="G102">
        <v>994422.8</v>
      </c>
      <c r="H102">
        <v>425164.30000000005</v>
      </c>
      <c r="I102">
        <v>245659.40000000005</v>
      </c>
      <c r="J102">
        <v>179504.9</v>
      </c>
      <c r="K102">
        <v>48907.7</v>
      </c>
      <c r="L102">
        <v>8418</v>
      </c>
      <c r="M102">
        <v>19206.3</v>
      </c>
      <c r="N102">
        <v>569258.5</v>
      </c>
      <c r="O102">
        <v>55073</v>
      </c>
      <c r="P102">
        <v>29131.3</v>
      </c>
      <c r="Q102">
        <v>19070</v>
      </c>
      <c r="R102">
        <v>22295</v>
      </c>
      <c r="S102">
        <v>1009</v>
      </c>
      <c r="T102">
        <v>9067.7000000000007</v>
      </c>
      <c r="U102">
        <v>9943.2999999999993</v>
      </c>
      <c r="V102">
        <v>23538</v>
      </c>
      <c r="W102">
        <v>121583.7</v>
      </c>
      <c r="X102">
        <v>1273655.8999999999</v>
      </c>
      <c r="Y102" s="8">
        <f t="shared" si="5"/>
        <v>4274987.5999999996</v>
      </c>
      <c r="Z102" s="8">
        <f t="shared" si="6"/>
        <v>2955205.1999999997</v>
      </c>
      <c r="AA102">
        <v>942369.3</v>
      </c>
      <c r="AB102">
        <v>115158.9</v>
      </c>
      <c r="AC102">
        <v>951904.7</v>
      </c>
      <c r="AD102">
        <v>252352.8</v>
      </c>
      <c r="AE102">
        <v>693419.5</v>
      </c>
      <c r="AF102">
        <f t="shared" si="7"/>
        <v>1319782.3999999999</v>
      </c>
      <c r="AG102">
        <v>798341.9</v>
      </c>
      <c r="AH102">
        <v>455270</v>
      </c>
      <c r="AI102">
        <v>66170.5</v>
      </c>
      <c r="AJ102">
        <v>8908927</v>
      </c>
      <c r="AK102">
        <v>121978.8</v>
      </c>
      <c r="AL102">
        <v>379070.3</v>
      </c>
      <c r="AM102">
        <v>9409976</v>
      </c>
      <c r="AN102" s="8">
        <f t="shared" si="8"/>
        <v>8402099.6999999993</v>
      </c>
    </row>
    <row r="103" spans="1:40" x14ac:dyDescent="0.25">
      <c r="A103" s="1">
        <f t="shared" si="10"/>
        <v>45901</v>
      </c>
      <c r="B103">
        <v>1162389.5</v>
      </c>
      <c r="C103">
        <v>-203224.6</v>
      </c>
      <c r="D103">
        <v>993630.2</v>
      </c>
      <c r="E103">
        <v>967584.2</v>
      </c>
      <c r="F103">
        <v>26046</v>
      </c>
      <c r="G103">
        <v>817971.7</v>
      </c>
      <c r="H103">
        <v>442285.79999999993</v>
      </c>
      <c r="I103">
        <v>253468.19999999992</v>
      </c>
      <c r="J103">
        <v>188817.6</v>
      </c>
      <c r="K103">
        <v>46302</v>
      </c>
      <c r="L103">
        <v>10722</v>
      </c>
      <c r="M103">
        <v>20124.599999999999</v>
      </c>
      <c r="N103">
        <v>375685.9</v>
      </c>
      <c r="O103">
        <v>57789.7</v>
      </c>
      <c r="P103">
        <v>35237.699999999997</v>
      </c>
      <c r="Q103">
        <v>20217.2</v>
      </c>
      <c r="R103">
        <v>22530.2</v>
      </c>
      <c r="S103">
        <v>1184.2</v>
      </c>
      <c r="T103">
        <v>8205.7999999999993</v>
      </c>
      <c r="U103">
        <v>9314.4</v>
      </c>
      <c r="V103">
        <v>21840.400000000001</v>
      </c>
      <c r="W103">
        <v>126234.7</v>
      </c>
      <c r="X103">
        <v>1289923.6000000001</v>
      </c>
      <c r="Y103" s="8">
        <f t="shared" si="5"/>
        <v>4856921.8</v>
      </c>
      <c r="Z103" s="8">
        <f t="shared" si="6"/>
        <v>3133944.5</v>
      </c>
      <c r="AA103">
        <v>1010048.2</v>
      </c>
      <c r="AB103">
        <v>242817</v>
      </c>
      <c r="AC103">
        <v>902136.6</v>
      </c>
      <c r="AD103">
        <v>262602</v>
      </c>
      <c r="AE103">
        <v>716340.7</v>
      </c>
      <c r="AF103">
        <f t="shared" si="7"/>
        <v>1722977.2999999998</v>
      </c>
      <c r="AG103">
        <v>1058270.2</v>
      </c>
      <c r="AH103">
        <v>598107.19999999995</v>
      </c>
      <c r="AI103">
        <v>66599.899999999994</v>
      </c>
      <c r="AJ103">
        <v>9043846.8000000007</v>
      </c>
      <c r="AK103">
        <v>119269.3</v>
      </c>
      <c r="AL103">
        <v>486514.9</v>
      </c>
      <c r="AM103">
        <v>9649631.0999999996</v>
      </c>
      <c r="AN103" s="8">
        <f t="shared" si="8"/>
        <v>8656000.9000000004</v>
      </c>
    </row>
    <row r="104" spans="1:40" x14ac:dyDescent="0.25">
      <c r="A104" s="1">
        <f t="shared" si="10"/>
        <v>45992</v>
      </c>
      <c r="B104">
        <v>1315528.8999999999</v>
      </c>
      <c r="C104">
        <v>-173056.5</v>
      </c>
      <c r="D104">
        <v>920869.2</v>
      </c>
      <c r="E104">
        <v>890160</v>
      </c>
      <c r="F104">
        <v>30709.200000000001</v>
      </c>
      <c r="G104">
        <v>732197.8</v>
      </c>
      <c r="H104">
        <v>443141.30000000005</v>
      </c>
      <c r="I104">
        <v>263216.60000000003</v>
      </c>
      <c r="J104">
        <v>179924.7</v>
      </c>
      <c r="K104">
        <v>49142.9</v>
      </c>
      <c r="L104">
        <v>8054.4</v>
      </c>
      <c r="M104">
        <v>23539.7</v>
      </c>
      <c r="N104">
        <v>289056.5</v>
      </c>
      <c r="O104">
        <v>53958.6</v>
      </c>
      <c r="P104">
        <v>32431.5</v>
      </c>
      <c r="Q104">
        <v>21393.599999999999</v>
      </c>
      <c r="R104">
        <v>23815.4</v>
      </c>
      <c r="S104">
        <v>1771</v>
      </c>
      <c r="T104">
        <v>9333.4</v>
      </c>
      <c r="U104">
        <v>11329.2</v>
      </c>
      <c r="V104">
        <v>28446.799999999999</v>
      </c>
      <c r="W104">
        <v>124978.7</v>
      </c>
      <c r="X104">
        <v>1387442.1</v>
      </c>
      <c r="Y104" s="8">
        <f t="shared" si="5"/>
        <v>3882974.9</v>
      </c>
      <c r="Z104" s="8">
        <f t="shared" si="6"/>
        <v>2816643.4</v>
      </c>
      <c r="AA104">
        <v>986846.8</v>
      </c>
      <c r="AB104">
        <v>107722.9</v>
      </c>
      <c r="AC104">
        <v>752810.5</v>
      </c>
      <c r="AD104">
        <v>227238.3</v>
      </c>
      <c r="AE104">
        <v>742024.9</v>
      </c>
      <c r="AF104">
        <f t="shared" si="7"/>
        <v>1066331.5</v>
      </c>
      <c r="AG104">
        <v>620967.19999999995</v>
      </c>
      <c r="AH104">
        <v>370580.2</v>
      </c>
      <c r="AI104">
        <v>74784.100000000006</v>
      </c>
      <c r="AJ104">
        <v>8190935.2000000002</v>
      </c>
      <c r="AK104">
        <v>117580.2</v>
      </c>
      <c r="AL104">
        <v>401167.1</v>
      </c>
      <c r="AM104">
        <v>8709682.5</v>
      </c>
      <c r="AN104" s="8">
        <f t="shared" si="8"/>
        <v>7788813.2999999998</v>
      </c>
    </row>
  </sheetData>
  <pageMargins left="0.7" right="0.7" top="0.75" bottom="0.75" header="0.3" footer="0.3"/>
  <pageSetup paperSize="9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04"/>
  <sheetViews>
    <sheetView workbookViewId="0">
      <pane xSplit="1" ySplit="4" topLeftCell="T78" activePane="bottomRight" state="frozen"/>
      <selection pane="topRight" activeCell="B1" sqref="B1"/>
      <selection pane="bottomLeft" activeCell="A5" sqref="A5"/>
      <selection pane="bottomRight" activeCell="B5" sqref="B5:AN104"/>
    </sheetView>
  </sheetViews>
  <sheetFormatPr baseColWidth="10" defaultColWidth="11.42578125" defaultRowHeight="15" x14ac:dyDescent="0.25"/>
  <cols>
    <col min="1" max="1" width="11.5703125" customWidth="1"/>
    <col min="2" max="2" width="11.85546875" style="23" customWidth="1"/>
    <col min="3" max="3" width="11.5703125" style="23" customWidth="1"/>
    <col min="4" max="4" width="12.28515625" style="23" customWidth="1"/>
    <col min="5" max="6" width="10.42578125" style="23" customWidth="1"/>
    <col min="7" max="9" width="12.7109375" style="23" customWidth="1"/>
    <col min="10" max="10" width="13" style="23" customWidth="1"/>
    <col min="11" max="11" width="10.42578125" style="23" customWidth="1"/>
    <col min="12" max="12" width="15" style="23" bestFit="1" customWidth="1"/>
    <col min="13" max="13" width="12.85546875" style="23" customWidth="1"/>
    <col min="14" max="14" width="12.42578125" style="23" bestFit="1" customWidth="1"/>
    <col min="15" max="15" width="10.85546875" style="23" bestFit="1" customWidth="1"/>
    <col min="16" max="16" width="11.7109375" style="23" bestFit="1" customWidth="1"/>
    <col min="17" max="17" width="10.42578125" style="23" customWidth="1"/>
    <col min="18" max="18" width="9.7109375" style="23" bestFit="1" customWidth="1"/>
    <col min="19" max="19" width="10.42578125" style="23" customWidth="1"/>
    <col min="20" max="20" width="8.28515625" style="23" bestFit="1" customWidth="1"/>
    <col min="21" max="21" width="10.85546875" style="23" bestFit="1" customWidth="1"/>
    <col min="22" max="22" width="12.7109375" style="23" customWidth="1"/>
    <col min="23" max="23" width="10.42578125" style="23" customWidth="1"/>
    <col min="24" max="25" width="12.42578125" style="23" customWidth="1"/>
    <col min="26" max="26" width="12" style="23" customWidth="1"/>
    <col min="27" max="27" width="10.42578125" style="23" customWidth="1"/>
    <col min="28" max="28" width="13.7109375" style="23" customWidth="1"/>
    <col min="29" max="16384" width="11.42578125" style="23"/>
  </cols>
  <sheetData>
    <row r="1" spans="1:40" customFormat="1" x14ac:dyDescent="0.25"/>
    <row r="2" spans="1:40" customFormat="1" x14ac:dyDescent="0.25">
      <c r="D2" s="3" t="s">
        <v>2</v>
      </c>
      <c r="E2" s="5" t="s">
        <v>3</v>
      </c>
    </row>
    <row r="3" spans="1:40" customFormat="1" x14ac:dyDescent="0.25"/>
    <row r="4" spans="1:40" s="14" customFormat="1" ht="96.75" customHeight="1" x14ac:dyDescent="0.25">
      <c r="A4" s="12" t="s">
        <v>0</v>
      </c>
      <c r="B4" s="29" t="s">
        <v>24</v>
      </c>
      <c r="C4" s="29" t="s">
        <v>8</v>
      </c>
      <c r="D4" s="30" t="s">
        <v>42</v>
      </c>
      <c r="E4" s="31" t="s">
        <v>25</v>
      </c>
      <c r="F4" s="31" t="s">
        <v>26</v>
      </c>
      <c r="G4" s="32" t="s">
        <v>43</v>
      </c>
      <c r="H4" s="43" t="s">
        <v>45</v>
      </c>
      <c r="I4" s="43" t="s">
        <v>46</v>
      </c>
      <c r="J4" s="33" t="s">
        <v>27</v>
      </c>
      <c r="K4" s="33" t="s">
        <v>28</v>
      </c>
      <c r="L4" s="33" t="s">
        <v>29</v>
      </c>
      <c r="M4" s="33" t="s">
        <v>30</v>
      </c>
      <c r="N4" s="33" t="s">
        <v>31</v>
      </c>
      <c r="O4" s="33" t="s">
        <v>32</v>
      </c>
      <c r="P4" s="33" t="s">
        <v>33</v>
      </c>
      <c r="Q4" s="33" t="s">
        <v>34</v>
      </c>
      <c r="R4" s="33" t="s">
        <v>35</v>
      </c>
      <c r="S4" s="33" t="s">
        <v>36</v>
      </c>
      <c r="T4" s="33" t="s">
        <v>37</v>
      </c>
      <c r="U4" s="33" t="s">
        <v>38</v>
      </c>
      <c r="V4" s="33" t="s">
        <v>39</v>
      </c>
      <c r="W4" s="29" t="s">
        <v>20</v>
      </c>
      <c r="X4" s="29" t="s">
        <v>9</v>
      </c>
      <c r="Y4" s="44" t="s">
        <v>47</v>
      </c>
      <c r="Z4" s="34" t="s">
        <v>10</v>
      </c>
      <c r="AA4" s="35" t="s">
        <v>21</v>
      </c>
      <c r="AB4" s="36" t="s">
        <v>11</v>
      </c>
      <c r="AC4" s="36" t="s">
        <v>22</v>
      </c>
      <c r="AD4" s="36" t="s">
        <v>12</v>
      </c>
      <c r="AE4" s="36" t="s">
        <v>23</v>
      </c>
      <c r="AF4" s="37" t="s">
        <v>13</v>
      </c>
      <c r="AG4" s="38" t="s">
        <v>14</v>
      </c>
      <c r="AH4" s="38" t="s">
        <v>40</v>
      </c>
      <c r="AI4" s="38" t="s">
        <v>41</v>
      </c>
      <c r="AJ4" s="39" t="s">
        <v>19</v>
      </c>
      <c r="AK4" s="29" t="s">
        <v>15</v>
      </c>
      <c r="AL4" s="29" t="s">
        <v>16</v>
      </c>
      <c r="AM4" s="39" t="s">
        <v>17</v>
      </c>
      <c r="AN4" s="39" t="s">
        <v>18</v>
      </c>
    </row>
    <row r="5" spans="1:40" x14ac:dyDescent="0.25">
      <c r="A5" s="1">
        <v>36951</v>
      </c>
      <c r="B5" s="24">
        <v>0</v>
      </c>
      <c r="C5" s="24">
        <v>0</v>
      </c>
      <c r="D5" s="24">
        <v>0</v>
      </c>
      <c r="E5" s="24">
        <v>0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4">
        <v>0</v>
      </c>
      <c r="M5" s="24">
        <v>0</v>
      </c>
      <c r="N5" s="24">
        <v>0</v>
      </c>
      <c r="O5" s="24">
        <v>0</v>
      </c>
      <c r="P5" s="24">
        <v>0</v>
      </c>
      <c r="Q5" s="24">
        <v>0</v>
      </c>
      <c r="R5" s="24">
        <v>0</v>
      </c>
      <c r="S5" s="24">
        <v>0</v>
      </c>
      <c r="T5" s="24">
        <v>0</v>
      </c>
      <c r="U5" s="24">
        <v>0</v>
      </c>
      <c r="V5" s="24">
        <v>0</v>
      </c>
      <c r="W5" s="24">
        <v>0</v>
      </c>
      <c r="X5" s="24">
        <v>0</v>
      </c>
      <c r="Y5" s="24">
        <v>0</v>
      </c>
      <c r="Z5" s="24">
        <v>0</v>
      </c>
      <c r="AA5" s="24">
        <v>0</v>
      </c>
      <c r="AB5" s="24">
        <v>0</v>
      </c>
      <c r="AC5" s="51">
        <v>0</v>
      </c>
      <c r="AD5" s="51">
        <v>0</v>
      </c>
      <c r="AE5" s="51">
        <v>0</v>
      </c>
      <c r="AF5" s="51">
        <v>0</v>
      </c>
      <c r="AG5" s="51">
        <v>0</v>
      </c>
      <c r="AH5" s="51">
        <v>0</v>
      </c>
      <c r="AI5" s="51">
        <v>0</v>
      </c>
      <c r="AJ5" s="51">
        <v>0</v>
      </c>
      <c r="AK5" s="51">
        <v>0</v>
      </c>
      <c r="AL5" s="51">
        <v>0</v>
      </c>
      <c r="AM5" s="51">
        <v>0</v>
      </c>
      <c r="AN5" s="51">
        <v>0</v>
      </c>
    </row>
    <row r="6" spans="1:40" x14ac:dyDescent="0.25">
      <c r="A6" s="1">
        <f>EDATE(A5,3)</f>
        <v>37043</v>
      </c>
      <c r="B6" s="24">
        <v>0</v>
      </c>
      <c r="C6" s="24">
        <v>0</v>
      </c>
      <c r="D6" s="24">
        <v>0</v>
      </c>
      <c r="E6" s="24">
        <v>0</v>
      </c>
      <c r="F6" s="24">
        <v>0</v>
      </c>
      <c r="G6" s="24">
        <v>0</v>
      </c>
      <c r="H6" s="24">
        <v>0</v>
      </c>
      <c r="I6" s="24">
        <v>0</v>
      </c>
      <c r="J6" s="24">
        <v>0</v>
      </c>
      <c r="K6" s="24">
        <v>0</v>
      </c>
      <c r="L6" s="24">
        <v>0</v>
      </c>
      <c r="M6" s="24">
        <v>0</v>
      </c>
      <c r="N6" s="24">
        <v>0</v>
      </c>
      <c r="O6" s="24">
        <v>0</v>
      </c>
      <c r="P6" s="24">
        <v>0</v>
      </c>
      <c r="Q6" s="24">
        <v>0</v>
      </c>
      <c r="R6" s="24">
        <v>0</v>
      </c>
      <c r="S6" s="24">
        <v>0</v>
      </c>
      <c r="T6" s="24">
        <v>0</v>
      </c>
      <c r="U6" s="24">
        <v>0</v>
      </c>
      <c r="V6" s="24">
        <v>0</v>
      </c>
      <c r="W6" s="24">
        <v>0</v>
      </c>
      <c r="X6" s="24">
        <v>0</v>
      </c>
      <c r="Y6" s="24">
        <v>0</v>
      </c>
      <c r="Z6" s="24">
        <v>0</v>
      </c>
      <c r="AA6" s="24">
        <v>0</v>
      </c>
      <c r="AB6" s="24">
        <v>0</v>
      </c>
      <c r="AC6" s="51">
        <v>0</v>
      </c>
      <c r="AD6" s="51">
        <v>0</v>
      </c>
      <c r="AE6" s="51">
        <v>0</v>
      </c>
      <c r="AF6" s="51">
        <v>0</v>
      </c>
      <c r="AG6" s="51">
        <v>0</v>
      </c>
      <c r="AH6" s="51">
        <v>0</v>
      </c>
      <c r="AI6" s="51">
        <v>0</v>
      </c>
      <c r="AJ6" s="51">
        <v>0</v>
      </c>
      <c r="AK6" s="51">
        <v>0</v>
      </c>
      <c r="AL6" s="51">
        <v>0</v>
      </c>
      <c r="AM6" s="51">
        <v>0</v>
      </c>
      <c r="AN6" s="51">
        <v>0</v>
      </c>
    </row>
    <row r="7" spans="1:40" x14ac:dyDescent="0.25">
      <c r="A7" s="1">
        <f t="shared" ref="A7:A70" si="0">EDATE(A6,3)</f>
        <v>37135</v>
      </c>
      <c r="B7" s="24">
        <v>0</v>
      </c>
      <c r="C7" s="24">
        <v>0</v>
      </c>
      <c r="D7" s="24">
        <v>0</v>
      </c>
      <c r="E7" s="24">
        <v>0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24">
        <v>0</v>
      </c>
      <c r="L7" s="24">
        <v>0</v>
      </c>
      <c r="M7" s="24">
        <v>0</v>
      </c>
      <c r="N7" s="24">
        <v>0</v>
      </c>
      <c r="O7" s="24">
        <v>0</v>
      </c>
      <c r="P7" s="24">
        <v>0</v>
      </c>
      <c r="Q7" s="24">
        <v>0</v>
      </c>
      <c r="R7" s="24">
        <v>0</v>
      </c>
      <c r="S7" s="24">
        <v>0</v>
      </c>
      <c r="T7" s="24">
        <v>0</v>
      </c>
      <c r="U7" s="24">
        <v>0</v>
      </c>
      <c r="V7" s="24">
        <v>0</v>
      </c>
      <c r="W7" s="24">
        <v>0</v>
      </c>
      <c r="X7" s="24">
        <v>0</v>
      </c>
      <c r="Y7" s="24">
        <v>0</v>
      </c>
      <c r="Z7" s="24">
        <v>0</v>
      </c>
      <c r="AA7" s="24">
        <v>0</v>
      </c>
      <c r="AB7" s="24">
        <v>0</v>
      </c>
      <c r="AC7" s="51">
        <v>0</v>
      </c>
      <c r="AD7" s="51">
        <v>0</v>
      </c>
      <c r="AE7" s="51">
        <v>0</v>
      </c>
      <c r="AF7" s="51">
        <v>0</v>
      </c>
      <c r="AG7" s="51">
        <v>0</v>
      </c>
      <c r="AH7" s="51">
        <v>0</v>
      </c>
      <c r="AI7" s="51">
        <v>0</v>
      </c>
      <c r="AJ7" s="51">
        <v>0</v>
      </c>
      <c r="AK7" s="51">
        <v>0</v>
      </c>
      <c r="AL7" s="51">
        <v>0</v>
      </c>
      <c r="AM7" s="51">
        <v>0</v>
      </c>
      <c r="AN7" s="51">
        <v>0</v>
      </c>
    </row>
    <row r="8" spans="1:40" x14ac:dyDescent="0.25">
      <c r="A8" s="1">
        <f t="shared" si="0"/>
        <v>37226</v>
      </c>
      <c r="B8" s="24">
        <v>0</v>
      </c>
      <c r="C8" s="24">
        <v>0</v>
      </c>
      <c r="D8" s="24">
        <v>0</v>
      </c>
      <c r="E8" s="24">
        <v>0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24">
        <v>0</v>
      </c>
      <c r="L8" s="24">
        <v>0</v>
      </c>
      <c r="M8" s="24">
        <v>0</v>
      </c>
      <c r="N8" s="24">
        <v>0</v>
      </c>
      <c r="O8" s="24">
        <v>0</v>
      </c>
      <c r="P8" s="24">
        <v>0</v>
      </c>
      <c r="Q8" s="24">
        <v>0</v>
      </c>
      <c r="R8" s="24">
        <v>0</v>
      </c>
      <c r="S8" s="24">
        <v>0</v>
      </c>
      <c r="T8" s="24">
        <v>0</v>
      </c>
      <c r="U8" s="24">
        <v>0</v>
      </c>
      <c r="V8" s="24">
        <v>0</v>
      </c>
      <c r="W8" s="24">
        <v>0</v>
      </c>
      <c r="X8" s="24">
        <v>0</v>
      </c>
      <c r="Y8" s="24">
        <v>0</v>
      </c>
      <c r="Z8" s="24">
        <v>0</v>
      </c>
      <c r="AA8" s="24">
        <v>0</v>
      </c>
      <c r="AB8" s="24">
        <v>0</v>
      </c>
      <c r="AC8" s="51">
        <v>0</v>
      </c>
      <c r="AD8" s="51">
        <v>0</v>
      </c>
      <c r="AE8" s="51">
        <v>0</v>
      </c>
      <c r="AF8" s="51">
        <v>0</v>
      </c>
      <c r="AG8" s="51">
        <v>0</v>
      </c>
      <c r="AH8" s="51">
        <v>0</v>
      </c>
      <c r="AI8" s="51">
        <v>0</v>
      </c>
      <c r="AJ8" s="51">
        <v>0</v>
      </c>
      <c r="AK8" s="51">
        <v>0</v>
      </c>
      <c r="AL8" s="51">
        <v>0</v>
      </c>
      <c r="AM8" s="51">
        <v>0</v>
      </c>
      <c r="AN8" s="51">
        <v>0</v>
      </c>
    </row>
    <row r="9" spans="1:40" x14ac:dyDescent="0.25">
      <c r="A9" s="1">
        <f t="shared" si="0"/>
        <v>37316</v>
      </c>
      <c r="B9" s="24">
        <v>0.17801663350785857</v>
      </c>
      <c r="C9" s="24">
        <v>4.0396736823904433E-3</v>
      </c>
      <c r="D9" s="24">
        <v>-0.21356134849078789</v>
      </c>
      <c r="E9" s="24">
        <v>-0.21538429170942919</v>
      </c>
      <c r="F9" s="24">
        <v>7.4997397730821147E-2</v>
      </c>
      <c r="G9" s="24">
        <v>-0.17451797758677923</v>
      </c>
      <c r="H9" s="24">
        <v>-6.4874302570298026E-2</v>
      </c>
      <c r="I9" s="24">
        <v>3.0405087668226694E-2</v>
      </c>
      <c r="J9" s="24">
        <v>-0.23095839399818108</v>
      </c>
      <c r="K9" s="24">
        <v>-6.3731189582433734E-2</v>
      </c>
      <c r="L9" s="24">
        <v>-9.775627658687136E-2</v>
      </c>
      <c r="M9" s="24">
        <v>3.7613811632419392E-2</v>
      </c>
      <c r="N9" s="24">
        <v>-0.33364655248967934</v>
      </c>
      <c r="O9" s="24">
        <v>-7.9001001761718981E-2</v>
      </c>
      <c r="P9" s="24">
        <v>0.11094169843154411</v>
      </c>
      <c r="Q9" s="24">
        <v>-0.11721151875384306</v>
      </c>
      <c r="R9" s="24">
        <v>0.35141169356714275</v>
      </c>
      <c r="S9" s="24">
        <v>0.38445378151260523</v>
      </c>
      <c r="T9" s="24">
        <v>0.12613521695257313</v>
      </c>
      <c r="U9" s="24">
        <v>8.4675532981353996E-2</v>
      </c>
      <c r="V9" s="24">
        <v>0.22396641815518503</v>
      </c>
      <c r="W9" s="25">
        <v>7.5863135620030553E-2</v>
      </c>
      <c r="X9" s="24">
        <v>7.6861124275220405E-3</v>
      </c>
      <c r="Y9" s="24">
        <v>9.6245349599244134E-2</v>
      </c>
      <c r="Z9" s="24">
        <v>7.0088205734817999E-2</v>
      </c>
      <c r="AA9" s="25">
        <v>3.7587079076682128E-2</v>
      </c>
      <c r="AB9" s="25">
        <v>0.10492206323449871</v>
      </c>
      <c r="AC9" s="51">
        <v>0.10108771979629982</v>
      </c>
      <c r="AD9" s="51">
        <v>4.0738536299002037E-2</v>
      </c>
      <c r="AE9" s="51">
        <v>7.7322764670469946E-2</v>
      </c>
      <c r="AF9" s="51">
        <v>0.16871350590489209</v>
      </c>
      <c r="AG9" s="51">
        <v>0.18658746610032906</v>
      </c>
      <c r="AH9" s="51">
        <v>0.17368970921121374</v>
      </c>
      <c r="AI9" s="51">
        <v>3.0745805930858738E-2</v>
      </c>
      <c r="AJ9" s="51">
        <v>-1.7482196625021151E-2</v>
      </c>
      <c r="AK9" s="51">
        <v>0.18257720228842467</v>
      </c>
      <c r="AL9" s="51">
        <v>0.11830054299709025</v>
      </c>
      <c r="AM9" s="51">
        <v>-5.6428826563924561E-3</v>
      </c>
      <c r="AN9" s="51">
        <v>6.7117164388456718E-2</v>
      </c>
    </row>
    <row r="10" spans="1:40" x14ac:dyDescent="0.25">
      <c r="A10" s="1">
        <f t="shared" si="0"/>
        <v>37408</v>
      </c>
      <c r="B10" s="24">
        <v>9.8772264062663595E-2</v>
      </c>
      <c r="C10" s="24">
        <v>-1.5435590348482298E-2</v>
      </c>
      <c r="D10" s="24">
        <v>-8.3106428689588285E-2</v>
      </c>
      <c r="E10" s="24">
        <v>-8.3988585120159942E-2</v>
      </c>
      <c r="F10" s="24">
        <v>3.8323816897319452E-2</v>
      </c>
      <c r="G10" s="24">
        <v>-0.11179549050000803</v>
      </c>
      <c r="H10" s="24">
        <v>-1.9713087581346156E-2</v>
      </c>
      <c r="I10" s="24">
        <v>3.4976145645428058E-2</v>
      </c>
      <c r="J10" s="24">
        <v>-0.11755375742514007</v>
      </c>
      <c r="K10" s="24">
        <v>0.11099514689766754</v>
      </c>
      <c r="L10" s="24">
        <v>5.7276750846135815E-3</v>
      </c>
      <c r="M10" s="24">
        <v>3.2047201684375581E-2</v>
      </c>
      <c r="N10" s="24">
        <v>-0.23266733063680167</v>
      </c>
      <c r="O10" s="24">
        <v>5.6024414136086387E-2</v>
      </c>
      <c r="P10" s="24">
        <v>8.66252890349275E-2</v>
      </c>
      <c r="Q10" s="24">
        <v>-0.19763287181777578</v>
      </c>
      <c r="R10" s="24">
        <v>-6.5839261389435411E-3</v>
      </c>
      <c r="S10" s="24">
        <v>0.41074681238615685</v>
      </c>
      <c r="T10" s="24">
        <v>-1.0281843474053476E-2</v>
      </c>
      <c r="U10" s="24">
        <v>-2.9510961214165299E-3</v>
      </c>
      <c r="V10" s="24">
        <v>-7.3683200614026445E-3</v>
      </c>
      <c r="W10" s="25">
        <v>1.3334037092506801E-2</v>
      </c>
      <c r="X10" s="24">
        <v>0.23273966142631108</v>
      </c>
      <c r="Y10" s="24">
        <v>7.4937380857590385E-2</v>
      </c>
      <c r="Z10" s="24">
        <v>5.1153564919848682E-2</v>
      </c>
      <c r="AA10" s="25">
        <v>2.525157339080808E-2</v>
      </c>
      <c r="AB10" s="25">
        <v>9.1609098107746423E-2</v>
      </c>
      <c r="AC10" s="51">
        <v>5.6892115442615188E-2</v>
      </c>
      <c r="AD10" s="51">
        <v>2.0261577627922245E-2</v>
      </c>
      <c r="AE10" s="51">
        <v>8.4928257838408072E-2</v>
      </c>
      <c r="AF10" s="51">
        <v>0.12679277792248089</v>
      </c>
      <c r="AG10" s="51">
        <v>0.13666147394148709</v>
      </c>
      <c r="AH10" s="51">
        <v>0.12969599734986215</v>
      </c>
      <c r="AI10" s="51">
        <v>2.5047019675925819E-2</v>
      </c>
      <c r="AJ10" s="51">
        <v>2.6000982123416616E-2</v>
      </c>
      <c r="AK10" s="51">
        <v>0.27555240913095824</v>
      </c>
      <c r="AL10" s="51">
        <v>0.13838502139354758</v>
      </c>
      <c r="AM10" s="51">
        <v>3.7354602703666639E-2</v>
      </c>
      <c r="AN10" s="51">
        <v>7.4928752288744516E-2</v>
      </c>
    </row>
    <row r="11" spans="1:40" x14ac:dyDescent="0.25">
      <c r="A11" s="1">
        <f t="shared" si="0"/>
        <v>37500</v>
      </c>
      <c r="B11" s="24">
        <v>-0.13708870873716827</v>
      </c>
      <c r="C11" s="24">
        <v>1.1109698094971643E-2</v>
      </c>
      <c r="D11" s="24">
        <v>0.13538714587096234</v>
      </c>
      <c r="E11" s="24">
        <v>0.1370375994616142</v>
      </c>
      <c r="F11" s="24">
        <v>-4.5471400760174197E-2</v>
      </c>
      <c r="G11" s="24">
        <v>3.6636652574109085E-3</v>
      </c>
      <c r="H11" s="24">
        <v>6.0544280864375022E-2</v>
      </c>
      <c r="I11" s="24">
        <v>8.331520654448088E-2</v>
      </c>
      <c r="J11" s="24">
        <v>1.6856688035107315E-2</v>
      </c>
      <c r="K11" s="24">
        <v>0.15008848613124393</v>
      </c>
      <c r="L11" s="24">
        <v>0.34383809907370111</v>
      </c>
      <c r="M11" s="24">
        <v>3.9710404610281191E-2</v>
      </c>
      <c r="N11" s="24">
        <v>-7.5104212172308338E-2</v>
      </c>
      <c r="O11" s="24">
        <v>0.12975290754591384</v>
      </c>
      <c r="P11" s="24">
        <v>0.10125177503848404</v>
      </c>
      <c r="Q11" s="24">
        <v>-0.15789609185932751</v>
      </c>
      <c r="R11" s="24">
        <v>6.02104949979545E-2</v>
      </c>
      <c r="S11" s="24">
        <v>0.38410041841004183</v>
      </c>
      <c r="T11" s="24">
        <v>6.2943071965628317E-2</v>
      </c>
      <c r="U11" s="24">
        <v>6.9567417151530364E-3</v>
      </c>
      <c r="V11" s="24">
        <v>6.2590027427534167E-2</v>
      </c>
      <c r="W11" s="25">
        <v>5.2203694499104447E-2</v>
      </c>
      <c r="X11" s="24">
        <v>0.22267869214025793</v>
      </c>
      <c r="Y11" s="24">
        <v>8.4068620135730798E-2</v>
      </c>
      <c r="Z11" s="24">
        <v>6.5516803555351055E-2</v>
      </c>
      <c r="AA11" s="25">
        <v>6.3816804244283709E-2</v>
      </c>
      <c r="AB11" s="25">
        <v>0.13421075763750712</v>
      </c>
      <c r="AC11" s="51">
        <v>4.4369400161447858E-2</v>
      </c>
      <c r="AD11" s="51">
        <v>4.4257092233104256E-2</v>
      </c>
      <c r="AE11" s="51">
        <v>9.2506897220104189E-2</v>
      </c>
      <c r="AF11" s="51">
        <v>0.13748787604099477</v>
      </c>
      <c r="AG11" s="51">
        <v>0.15644094366623729</v>
      </c>
      <c r="AH11" s="51">
        <v>0.13574368018812466</v>
      </c>
      <c r="AI11" s="51">
        <v>2.9975230803872988E-2</v>
      </c>
      <c r="AJ11" s="51">
        <v>7.731551042157303E-2</v>
      </c>
      <c r="AK11" s="51">
        <v>0.15281287158145074</v>
      </c>
      <c r="AL11" s="51">
        <v>0.16814586292479761</v>
      </c>
      <c r="AM11" s="51">
        <v>8.4645822802433379E-2</v>
      </c>
      <c r="AN11" s="51">
        <v>7.057619137944493E-2</v>
      </c>
    </row>
    <row r="12" spans="1:40" x14ac:dyDescent="0.25">
      <c r="A12" s="1">
        <f t="shared" si="0"/>
        <v>37591</v>
      </c>
      <c r="B12" s="24">
        <v>-0.10317688345270593</v>
      </c>
      <c r="C12" s="24">
        <v>7.3783063949013572E-2</v>
      </c>
      <c r="D12" s="24">
        <v>0.48390635816609695</v>
      </c>
      <c r="E12" s="24">
        <v>0.48716172533746827</v>
      </c>
      <c r="F12" s="24">
        <v>0.13161021984551402</v>
      </c>
      <c r="G12" s="24">
        <v>0.11976337012350302</v>
      </c>
      <c r="H12" s="24">
        <v>9.6560826388762955E-3</v>
      </c>
      <c r="I12" s="24">
        <v>5.0802208453044395E-2</v>
      </c>
      <c r="J12" s="24">
        <v>-6.3751770668087127E-2</v>
      </c>
      <c r="K12" s="24">
        <v>9.9684548224801883E-2</v>
      </c>
      <c r="L12" s="24">
        <v>0.1516897081413211</v>
      </c>
      <c r="M12" s="24">
        <v>5.9355241964564875E-2</v>
      </c>
      <c r="N12" s="24">
        <v>0.30983161663348135</v>
      </c>
      <c r="O12" s="24">
        <v>0.14863400665583182</v>
      </c>
      <c r="P12" s="24">
        <v>4.9212369406891998E-2</v>
      </c>
      <c r="Q12" s="24">
        <v>-0.14005889467318722</v>
      </c>
      <c r="R12" s="24">
        <v>-8.2268067333248984E-2</v>
      </c>
      <c r="S12" s="24">
        <v>0.30091883614088832</v>
      </c>
      <c r="T12" s="24">
        <v>8.7435195433098301E-2</v>
      </c>
      <c r="U12" s="24">
        <v>8.7589125268100476E-2</v>
      </c>
      <c r="V12" s="24">
        <v>1.6055833800423081E-2</v>
      </c>
      <c r="W12" s="25">
        <v>3.5563442535998968E-2</v>
      </c>
      <c r="X12" s="24">
        <v>0.18074140022868712</v>
      </c>
      <c r="Y12" s="24">
        <v>8.6746978377820083E-2</v>
      </c>
      <c r="Z12" s="24">
        <v>0.11395406417911991</v>
      </c>
      <c r="AA12" s="25">
        <v>8.8799050324112283E-2</v>
      </c>
      <c r="AB12" s="25">
        <v>-9.990431242803155E-2</v>
      </c>
      <c r="AC12" s="51">
        <v>0.18333717327537902</v>
      </c>
      <c r="AD12" s="51">
        <v>0.10253747836784055</v>
      </c>
      <c r="AE12" s="51">
        <v>9.0891623349688144E-2</v>
      </c>
      <c r="AF12" s="51">
        <v>1.4901354379275311E-2</v>
      </c>
      <c r="AG12" s="51">
        <v>5.3284786155538555E-3</v>
      </c>
      <c r="AH12" s="51">
        <v>2.3837353724454058E-2</v>
      </c>
      <c r="AI12" s="51">
        <v>3.7718647491531199E-2</v>
      </c>
      <c r="AJ12" s="51">
        <v>0.16282956929747106</v>
      </c>
      <c r="AK12" s="51">
        <v>0.24934887107466164</v>
      </c>
      <c r="AL12" s="51">
        <v>0.17550571947904992</v>
      </c>
      <c r="AM12" s="51">
        <v>0.16573123408264379</v>
      </c>
      <c r="AN12" s="51">
        <v>8.616083110249062E-2</v>
      </c>
    </row>
    <row r="13" spans="1:40" x14ac:dyDescent="0.25">
      <c r="A13" s="1">
        <f t="shared" si="0"/>
        <v>37681</v>
      </c>
      <c r="B13" s="24">
        <v>-1.5223019588365472E-2</v>
      </c>
      <c r="C13" s="24">
        <v>0.11281754232158159</v>
      </c>
      <c r="D13" s="24">
        <v>0.55871741256086316</v>
      </c>
      <c r="E13" s="24">
        <v>0.56351208107960904</v>
      </c>
      <c r="F13" s="24">
        <v>4.7446138949407413E-3</v>
      </c>
      <c r="G13" s="24">
        <v>0.26809065663498433</v>
      </c>
      <c r="H13" s="24">
        <v>7.0007973607966401E-2</v>
      </c>
      <c r="I13" s="24">
        <v>6.131070872849631E-2</v>
      </c>
      <c r="J13" s="24">
        <v>9.0320779616282598E-2</v>
      </c>
      <c r="K13" s="24">
        <v>0.12802249463357529</v>
      </c>
      <c r="L13" s="24">
        <v>0.16566515669779047</v>
      </c>
      <c r="M13" s="24">
        <v>9.5444737473028063E-2</v>
      </c>
      <c r="N13" s="24">
        <v>0.67152832229491621</v>
      </c>
      <c r="O13" s="24">
        <v>0.14777586077563565</v>
      </c>
      <c r="P13" s="24">
        <v>-2.9473968411105611E-2</v>
      </c>
      <c r="Q13" s="24">
        <v>-3.0792001625214005E-2</v>
      </c>
      <c r="R13" s="24">
        <v>-3.8411234253459048E-2</v>
      </c>
      <c r="S13" s="24">
        <v>0.32245827010622152</v>
      </c>
      <c r="T13" s="24">
        <v>8.1093189964157597E-2</v>
      </c>
      <c r="U13" s="24">
        <v>0.16451016635859528</v>
      </c>
      <c r="V13" s="24">
        <v>1.0020899201543143E-2</v>
      </c>
      <c r="W13" s="25">
        <v>7.8348602271390844E-2</v>
      </c>
      <c r="X13" s="24">
        <v>0.21437143907133804</v>
      </c>
      <c r="Y13" s="24">
        <v>9.4095118796966526E-2</v>
      </c>
      <c r="Z13" s="24">
        <v>7.3351105911858339E-2</v>
      </c>
      <c r="AA13" s="25">
        <v>9.7465065099017423E-2</v>
      </c>
      <c r="AB13" s="25">
        <v>0.3642148922156756</v>
      </c>
      <c r="AC13" s="51">
        <v>-5.8997050147492347E-3</v>
      </c>
      <c r="AD13" s="51">
        <v>0.1346591510014139</v>
      </c>
      <c r="AE13" s="51">
        <v>0.10190082113166699</v>
      </c>
      <c r="AF13" s="51">
        <v>0.14671637110185176</v>
      </c>
      <c r="AG13" s="51">
        <v>0.16140348786634795</v>
      </c>
      <c r="AH13" s="51">
        <v>0.13975047774469185</v>
      </c>
      <c r="AI13" s="51">
        <v>7.2133481646273756E-2</v>
      </c>
      <c r="AJ13" s="51">
        <v>0.21029606994094086</v>
      </c>
      <c r="AK13" s="51">
        <v>7.1337100577282708E-2</v>
      </c>
      <c r="AL13" s="51">
        <v>4.2096346444054911E-2</v>
      </c>
      <c r="AM13" s="51">
        <v>0.19620017403861056</v>
      </c>
      <c r="AN13" s="51">
        <v>0.10270669590786108</v>
      </c>
    </row>
    <row r="14" spans="1:40" x14ac:dyDescent="0.25">
      <c r="A14" s="1">
        <f t="shared" si="0"/>
        <v>37773</v>
      </c>
      <c r="B14" s="24">
        <v>0.10811101483211472</v>
      </c>
      <c r="C14" s="24">
        <v>0.11868492143334985</v>
      </c>
      <c r="D14" s="24">
        <v>0.32970532227129357</v>
      </c>
      <c r="E14" s="24">
        <v>0.33246948616251926</v>
      </c>
      <c r="F14" s="24">
        <v>-5.9185385404045832E-3</v>
      </c>
      <c r="G14" s="24">
        <v>6.6313500812749337E-2</v>
      </c>
      <c r="H14" s="24">
        <v>5.6378134571725136E-2</v>
      </c>
      <c r="I14" s="24">
        <v>8.8304143166108018E-2</v>
      </c>
      <c r="J14" s="24">
        <v>-1.0610988267850674E-2</v>
      </c>
      <c r="K14" s="24">
        <v>4.3690308439016778E-2</v>
      </c>
      <c r="L14" s="24">
        <v>0.23574078867891957</v>
      </c>
      <c r="M14" s="24">
        <v>9.7948048867275483E-2</v>
      </c>
      <c r="N14" s="24">
        <v>8.2974532354697761E-2</v>
      </c>
      <c r="O14" s="24">
        <v>0.12497770166613131</v>
      </c>
      <c r="P14" s="24">
        <v>-2.9847235910760661E-2</v>
      </c>
      <c r="Q14" s="24">
        <v>9.9112471781550582E-2</v>
      </c>
      <c r="R14" s="24">
        <v>0.27447246133922443</v>
      </c>
      <c r="S14" s="24">
        <v>0.20529373789541627</v>
      </c>
      <c r="T14" s="24">
        <v>8.0237105842092316E-2</v>
      </c>
      <c r="U14" s="24">
        <v>0.22416188462700082</v>
      </c>
      <c r="V14" s="24">
        <v>0.17614196516595459</v>
      </c>
      <c r="W14" s="25">
        <v>0.10602390811782181</v>
      </c>
      <c r="X14" s="24">
        <v>0.10697056369920155</v>
      </c>
      <c r="Y14" s="24">
        <v>7.5331924066186939E-2</v>
      </c>
      <c r="Z14" s="24">
        <v>0.11716991804986909</v>
      </c>
      <c r="AA14" s="25">
        <v>0.12066416431907911</v>
      </c>
      <c r="AB14" s="25">
        <v>0.76075174679407032</v>
      </c>
      <c r="AC14" s="51">
        <v>5.5694997807283375E-2</v>
      </c>
      <c r="AD14" s="51">
        <v>0.13485055124229506</v>
      </c>
      <c r="AE14" s="51">
        <v>0.10933831486786172</v>
      </c>
      <c r="AF14" s="51">
        <v>-9.7633408718134085E-3</v>
      </c>
      <c r="AG14" s="51">
        <v>-2.4138218892447161E-2</v>
      </c>
      <c r="AH14" s="51">
        <v>-2.6736199952277495E-3</v>
      </c>
      <c r="AI14" s="51">
        <v>8.4957922407861375E-2</v>
      </c>
      <c r="AJ14" s="51">
        <v>0.1381342005545878</v>
      </c>
      <c r="AK14" s="51">
        <v>0.13842998265590833</v>
      </c>
      <c r="AL14" s="51">
        <v>4.9861522443789497E-2</v>
      </c>
      <c r="AM14" s="51">
        <v>0.13299465725704862</v>
      </c>
      <c r="AN14" s="51">
        <v>8.0657547286845155E-2</v>
      </c>
    </row>
    <row r="15" spans="1:40" x14ac:dyDescent="0.25">
      <c r="A15" s="1">
        <f t="shared" si="0"/>
        <v>37865</v>
      </c>
      <c r="B15" s="24">
        <v>0.35480608085996757</v>
      </c>
      <c r="C15" s="24">
        <v>0.10365801508283479</v>
      </c>
      <c r="D15" s="24">
        <v>0.24412856951408202</v>
      </c>
      <c r="E15" s="24">
        <v>0.24508997892171114</v>
      </c>
      <c r="F15" s="24">
        <v>0.11863254503957643</v>
      </c>
      <c r="G15" s="24">
        <v>5.1724123226346341E-2</v>
      </c>
      <c r="H15" s="24">
        <v>5.6559740017847471E-2</v>
      </c>
      <c r="I15" s="24">
        <v>5.3963476482448369E-2</v>
      </c>
      <c r="J15" s="24">
        <v>6.1866400392641463E-2</v>
      </c>
      <c r="K15" s="24">
        <v>6.9824626519439548E-2</v>
      </c>
      <c r="L15" s="24">
        <v>-2.2402037911141148E-2</v>
      </c>
      <c r="M15" s="24">
        <v>8.4328931740375923E-2</v>
      </c>
      <c r="N15" s="24">
        <v>4.404568780003304E-2</v>
      </c>
      <c r="O15" s="24">
        <v>0.10710386301797192</v>
      </c>
      <c r="P15" s="24">
        <v>-4.8165485555772269E-2</v>
      </c>
      <c r="Q15" s="24">
        <v>5.9310893026384148E-2</v>
      </c>
      <c r="R15" s="24">
        <v>4.8933632664515114E-2</v>
      </c>
      <c r="S15" s="24">
        <v>0.16505441354292616</v>
      </c>
      <c r="T15" s="24">
        <v>0.11937483158178375</v>
      </c>
      <c r="U15" s="24">
        <v>0.24588619520160782</v>
      </c>
      <c r="V15" s="24">
        <v>4.9915507604315401E-2</v>
      </c>
      <c r="W15" s="25">
        <v>0.12206375296051353</v>
      </c>
      <c r="X15" s="24">
        <v>8.9441486157356032E-2</v>
      </c>
      <c r="Y15" s="24">
        <v>0.12726495120483117</v>
      </c>
      <c r="Z15" s="24">
        <v>9.3838272820139457E-2</v>
      </c>
      <c r="AA15" s="25">
        <v>8.488302749161214E-2</v>
      </c>
      <c r="AB15" s="25">
        <v>-0.31583693829526394</v>
      </c>
      <c r="AC15" s="51">
        <v>0.13153635712504919</v>
      </c>
      <c r="AD15" s="51">
        <v>0.11395062649164678</v>
      </c>
      <c r="AE15" s="51">
        <v>0.11438985807638735</v>
      </c>
      <c r="AF15" s="51">
        <v>0.21742583120917902</v>
      </c>
      <c r="AG15" s="51">
        <v>0.24444070751247415</v>
      </c>
      <c r="AH15" s="51">
        <v>0.20191447353826364</v>
      </c>
      <c r="AI15" s="51">
        <v>0.10676589158133165</v>
      </c>
      <c r="AJ15" s="51">
        <v>0.16250649992404065</v>
      </c>
      <c r="AK15" s="51">
        <v>6.2669825460523132E-2</v>
      </c>
      <c r="AL15" s="51">
        <v>5.5146944929212349E-2</v>
      </c>
      <c r="AM15" s="51">
        <v>0.15293012013138929</v>
      </c>
      <c r="AN15" s="51">
        <v>0.12611160182702652</v>
      </c>
    </row>
    <row r="16" spans="1:40" x14ac:dyDescent="0.25">
      <c r="A16" s="1">
        <f t="shared" si="0"/>
        <v>37956</v>
      </c>
      <c r="B16" s="24">
        <v>0.30603324980835045</v>
      </c>
      <c r="C16" s="24">
        <v>8.0217819535689516E-2</v>
      </c>
      <c r="D16" s="24">
        <v>0.17542024444475679</v>
      </c>
      <c r="E16" s="24">
        <v>0.17647645183918104</v>
      </c>
      <c r="F16" s="24">
        <v>2.5203465476502984E-2</v>
      </c>
      <c r="G16" s="24">
        <v>-1.7943027282213087E-2</v>
      </c>
      <c r="H16" s="24">
        <v>8.4500021969813321E-2</v>
      </c>
      <c r="I16" s="24">
        <v>0.11490696017755586</v>
      </c>
      <c r="J16" s="24">
        <v>2.3614191601461165E-2</v>
      </c>
      <c r="K16" s="24">
        <v>0.19776040566237052</v>
      </c>
      <c r="L16" s="24">
        <v>0.17889296432144053</v>
      </c>
      <c r="M16" s="24">
        <v>4.6498434166931224E-2</v>
      </c>
      <c r="N16" s="24">
        <v>-0.1542549984378454</v>
      </c>
      <c r="O16" s="24">
        <v>9.694101000572708E-2</v>
      </c>
      <c r="P16" s="24">
        <v>5.4222478488423764E-3</v>
      </c>
      <c r="Q16" s="24">
        <v>0.1273733451554715</v>
      </c>
      <c r="R16" s="24">
        <v>0.18566404633843603</v>
      </c>
      <c r="S16" s="24">
        <v>0.190700412007063</v>
      </c>
      <c r="T16" s="24">
        <v>7.1191343475466073E-2</v>
      </c>
      <c r="U16" s="24">
        <v>0.15003730945528182</v>
      </c>
      <c r="V16" s="24">
        <v>0.12490435092090046</v>
      </c>
      <c r="W16" s="25">
        <v>0.10953940712262256</v>
      </c>
      <c r="X16" s="24">
        <v>0.24018658426600825</v>
      </c>
      <c r="Y16" s="24">
        <v>0.17140491154179416</v>
      </c>
      <c r="Z16" s="24">
        <v>0.1612760381898779</v>
      </c>
      <c r="AA16" s="25">
        <v>0.10048714440939399</v>
      </c>
      <c r="AB16" s="25">
        <v>-0.35363700246851293</v>
      </c>
      <c r="AC16" s="51">
        <v>0.31396279764499369</v>
      </c>
      <c r="AD16" s="51">
        <v>8.3500382005643026E-2</v>
      </c>
      <c r="AE16" s="51">
        <v>0.10907877750540318</v>
      </c>
      <c r="AF16" s="51">
        <v>0.20076266952863731</v>
      </c>
      <c r="AG16" s="51">
        <v>0.22244181521183726</v>
      </c>
      <c r="AH16" s="51">
        <v>0.18794974515225027</v>
      </c>
      <c r="AI16" s="51">
        <v>0.11837968665213916</v>
      </c>
      <c r="AJ16" s="51">
        <v>0.16840791045386783</v>
      </c>
      <c r="AK16" s="51">
        <v>0.13913550250221807</v>
      </c>
      <c r="AL16" s="51">
        <v>4.9368123649659479E-2</v>
      </c>
      <c r="AM16" s="51">
        <v>0.16065696235434168</v>
      </c>
      <c r="AN16" s="51">
        <v>0.15561289808081136</v>
      </c>
    </row>
    <row r="17" spans="1:40" x14ac:dyDescent="0.25">
      <c r="A17" s="1">
        <f t="shared" si="0"/>
        <v>38047</v>
      </c>
      <c r="B17" s="24">
        <v>0.27195489257243866</v>
      </c>
      <c r="C17" s="24">
        <v>6.1351390640900005E-2</v>
      </c>
      <c r="D17" s="24">
        <v>0.17047947410385755</v>
      </c>
      <c r="E17" s="24">
        <v>0.17081281695707817</v>
      </c>
      <c r="F17" s="24">
        <v>0.11058642124030249</v>
      </c>
      <c r="G17" s="24">
        <v>-6.2624747286142868E-2</v>
      </c>
      <c r="H17" s="24">
        <v>8.1383723824083543E-2</v>
      </c>
      <c r="I17" s="24">
        <v>4.960275206814635E-2</v>
      </c>
      <c r="J17" s="24">
        <v>0.15363452272885958</v>
      </c>
      <c r="K17" s="24">
        <v>3.8876787946937608E-2</v>
      </c>
      <c r="L17" s="24">
        <v>1.1103180268062562E-2</v>
      </c>
      <c r="M17" s="24">
        <v>-1.4160337922129229E-2</v>
      </c>
      <c r="N17" s="24">
        <v>-0.25037963277134689</v>
      </c>
      <c r="O17" s="24">
        <v>9.6039474544147518E-2</v>
      </c>
      <c r="P17" s="24">
        <v>7.657177299703255E-2</v>
      </c>
      <c r="Q17" s="24">
        <v>9.546053419571221E-2</v>
      </c>
      <c r="R17" s="24">
        <v>5.8737203808432836E-2</v>
      </c>
      <c r="S17" s="24">
        <v>0.12621916236374076</v>
      </c>
      <c r="T17" s="24">
        <v>-1.0182937659108271E-2</v>
      </c>
      <c r="U17" s="24">
        <v>1.5608465608465627E-2</v>
      </c>
      <c r="V17" s="24">
        <v>3.77051499717036E-2</v>
      </c>
      <c r="W17" s="25">
        <v>9.1610917199922426E-2</v>
      </c>
      <c r="X17" s="24">
        <v>4.1623371813727994E-2</v>
      </c>
      <c r="Y17" s="24">
        <v>0.12716535748139224</v>
      </c>
      <c r="Z17" s="24">
        <v>0.17328507887527711</v>
      </c>
      <c r="AA17" s="25">
        <v>7.739416954968581E-2</v>
      </c>
      <c r="AB17" s="25">
        <v>-0.39053335508073717</v>
      </c>
      <c r="AC17" s="51">
        <v>0.41648676893503089</v>
      </c>
      <c r="AD17" s="51">
        <v>5.508413137889856E-2</v>
      </c>
      <c r="AE17" s="51">
        <v>0.10751001425792861</v>
      </c>
      <c r="AF17" s="51">
        <v>1.7658610914163653E-2</v>
      </c>
      <c r="AG17" s="51">
        <v>-2.7907625758738508E-4</v>
      </c>
      <c r="AH17" s="51">
        <v>2.6976937345137175E-2</v>
      </c>
      <c r="AI17" s="51">
        <v>0.11285596899096118</v>
      </c>
      <c r="AJ17" s="51">
        <v>0.12923860704883983</v>
      </c>
      <c r="AK17" s="51">
        <v>3.2384349514440469E-2</v>
      </c>
      <c r="AL17" s="51">
        <v>0.11945414615047545</v>
      </c>
      <c r="AM17" s="51">
        <v>0.12652071244523722</v>
      </c>
      <c r="AN17" s="51">
        <v>0.11049543790656635</v>
      </c>
    </row>
    <row r="18" spans="1:40" x14ac:dyDescent="0.25">
      <c r="A18" s="1">
        <f t="shared" si="0"/>
        <v>38139</v>
      </c>
      <c r="B18" s="24">
        <v>0.18142916886949534</v>
      </c>
      <c r="C18" s="24">
        <v>4.3978417069140185E-2</v>
      </c>
      <c r="D18" s="24">
        <v>0.27539410080381654</v>
      </c>
      <c r="E18" s="24">
        <v>0.27642434944093375</v>
      </c>
      <c r="F18" s="24">
        <v>0.10763677277202199</v>
      </c>
      <c r="G18" s="24">
        <v>0.10601521709970751</v>
      </c>
      <c r="H18" s="24">
        <v>0.10062149288790301</v>
      </c>
      <c r="I18" s="24">
        <v>6.63788367045548E-2</v>
      </c>
      <c r="J18" s="24">
        <v>0.17965482817853973</v>
      </c>
      <c r="K18" s="24">
        <v>2.1534491940504497E-2</v>
      </c>
      <c r="L18" s="24">
        <v>-5.2719782138118898E-2</v>
      </c>
      <c r="M18" s="24">
        <v>-1.7608676864575235E-2</v>
      </c>
      <c r="N18" s="24">
        <v>0.11483804691269617</v>
      </c>
      <c r="O18" s="24">
        <v>8.5421159457059526E-2</v>
      </c>
      <c r="P18" s="24">
        <v>0.13004629255509514</v>
      </c>
      <c r="Q18" s="24">
        <v>0.16338416521298749</v>
      </c>
      <c r="R18" s="24">
        <v>9.8176927674835657E-2</v>
      </c>
      <c r="S18" s="24">
        <v>6.7487948580610801E-2</v>
      </c>
      <c r="T18" s="24">
        <v>0.11664875261639418</v>
      </c>
      <c r="U18" s="24">
        <v>4.4409355570906861E-3</v>
      </c>
      <c r="V18" s="24">
        <v>7.7971171704222186E-2</v>
      </c>
      <c r="W18" s="25">
        <v>0.10319534708486389</v>
      </c>
      <c r="X18" s="24">
        <v>0.22964626493364459</v>
      </c>
      <c r="Y18" s="24">
        <v>0.13727389930651057</v>
      </c>
      <c r="Z18" s="24">
        <v>0.20139322583852048</v>
      </c>
      <c r="AA18" s="25">
        <v>8.245708485450054E-2</v>
      </c>
      <c r="AB18" s="25">
        <v>0.5341945504654928</v>
      </c>
      <c r="AC18" s="51">
        <v>0.39738632279200781</v>
      </c>
      <c r="AD18" s="51">
        <v>3.2289792410774343E-2</v>
      </c>
      <c r="AE18" s="51">
        <v>8.7559772563378324E-2</v>
      </c>
      <c r="AF18" s="51">
        <v>-9.8569448203582599E-3</v>
      </c>
      <c r="AG18" s="51">
        <v>-3.1966075819903295E-2</v>
      </c>
      <c r="AH18" s="51">
        <v>1.4528138178735439E-3</v>
      </c>
      <c r="AI18" s="51">
        <v>0.11756766645256245</v>
      </c>
      <c r="AJ18" s="51">
        <v>0.18349461761142605</v>
      </c>
      <c r="AK18" s="51">
        <v>-0.13948195369590222</v>
      </c>
      <c r="AL18" s="51">
        <v>0.10900531522915058</v>
      </c>
      <c r="AM18" s="51">
        <v>0.17086400480412522</v>
      </c>
      <c r="AN18" s="51">
        <v>0.13664317815874272</v>
      </c>
    </row>
    <row r="19" spans="1:40" x14ac:dyDescent="0.25">
      <c r="A19" s="1">
        <f t="shared" si="0"/>
        <v>38231</v>
      </c>
      <c r="B19" s="24">
        <v>-2.6740228370663255E-2</v>
      </c>
      <c r="C19" s="24">
        <v>7.6267361981647852E-2</v>
      </c>
      <c r="D19" s="24">
        <v>0.49342241530239517</v>
      </c>
      <c r="E19" s="24">
        <v>0.49641697645638017</v>
      </c>
      <c r="F19" s="24">
        <v>5.8343462406667879E-2</v>
      </c>
      <c r="G19" s="24">
        <v>5.4900596518201894E-2</v>
      </c>
      <c r="H19" s="24">
        <v>3.6249301101792364E-2</v>
      </c>
      <c r="I19" s="24">
        <v>5.1432275043945319E-2</v>
      </c>
      <c r="J19" s="24">
        <v>5.4468661593018997E-3</v>
      </c>
      <c r="K19" s="24">
        <v>-2.9663038293074262E-2</v>
      </c>
      <c r="L19" s="24">
        <v>0.1048436541998774</v>
      </c>
      <c r="M19" s="24">
        <v>5.6271477663230041E-3</v>
      </c>
      <c r="N19" s="24">
        <v>8.487181601205851E-2</v>
      </c>
      <c r="O19" s="24">
        <v>0.1174371096257103</v>
      </c>
      <c r="P19" s="24">
        <v>0.1327170683393859</v>
      </c>
      <c r="Q19" s="24">
        <v>0.10995988340211849</v>
      </c>
      <c r="R19" s="24">
        <v>0.12553924355415824</v>
      </c>
      <c r="S19" s="24">
        <v>2.4390243902439046E-2</v>
      </c>
      <c r="T19" s="24">
        <v>2.2147327876745448E-2</v>
      </c>
      <c r="U19" s="24">
        <v>-2.5003780813631193E-2</v>
      </c>
      <c r="V19" s="24">
        <v>3.5674490174923745E-2</v>
      </c>
      <c r="W19" s="25">
        <v>0.12930442856566127</v>
      </c>
      <c r="X19" s="24">
        <v>0.40611314896524187</v>
      </c>
      <c r="Y19" s="24">
        <v>0.16258204430074374</v>
      </c>
      <c r="Z19" s="24">
        <v>0.16621306849533246</v>
      </c>
      <c r="AA19" s="25">
        <v>0.10439072424360685</v>
      </c>
      <c r="AB19" s="25">
        <v>-0.30959981875476283</v>
      </c>
      <c r="AC19" s="51">
        <v>0.35782837065901107</v>
      </c>
      <c r="AD19" s="51">
        <v>5.6682411781050268E-2</v>
      </c>
      <c r="AE19" s="51">
        <v>7.7827054379887128E-2</v>
      </c>
      <c r="AF19" s="51">
        <v>0.15378240917584929</v>
      </c>
      <c r="AG19" s="51">
        <v>0.16365236174134767</v>
      </c>
      <c r="AH19" s="51">
        <v>0.14945997409844436</v>
      </c>
      <c r="AI19" s="51">
        <v>0.10038558177019952</v>
      </c>
      <c r="AJ19" s="51">
        <v>0.24388021459799236</v>
      </c>
      <c r="AK19" s="51">
        <v>0.11185423794617932</v>
      </c>
      <c r="AL19" s="51">
        <v>0.10905209588529985</v>
      </c>
      <c r="AM19" s="51">
        <v>0.23269306054612748</v>
      </c>
      <c r="AN19" s="51">
        <v>0.14798571242642899</v>
      </c>
    </row>
    <row r="20" spans="1:40" x14ac:dyDescent="0.25">
      <c r="A20" s="1">
        <f t="shared" si="0"/>
        <v>38322</v>
      </c>
      <c r="B20" s="24">
        <v>-0.17529862074567981</v>
      </c>
      <c r="C20" s="24">
        <v>4.9757015056473675E-2</v>
      </c>
      <c r="D20" s="24">
        <v>0.40695097626918098</v>
      </c>
      <c r="E20" s="24">
        <v>0.40876816043632114</v>
      </c>
      <c r="F20" s="24">
        <v>0.110371318822023</v>
      </c>
      <c r="G20" s="24">
        <v>0.14163909300274224</v>
      </c>
      <c r="H20" s="24">
        <v>4.1246576712656635E-2</v>
      </c>
      <c r="I20" s="24">
        <v>4.1034722824953018E-2</v>
      </c>
      <c r="J20" s="24">
        <v>4.1708619620288712E-2</v>
      </c>
      <c r="K20" s="24">
        <v>-1.0387125663188446E-2</v>
      </c>
      <c r="L20" s="24">
        <v>3.231508980342257E-2</v>
      </c>
      <c r="M20" s="24">
        <v>7.565867938848525E-2</v>
      </c>
      <c r="N20" s="24">
        <v>0.31293341456143309</v>
      </c>
      <c r="O20" s="24">
        <v>0.15253144147049325</v>
      </c>
      <c r="P20" s="24">
        <v>0.11758737441134626</v>
      </c>
      <c r="Q20" s="24">
        <v>2.0340086241965594E-3</v>
      </c>
      <c r="R20" s="24">
        <v>1.1340835732356336E-3</v>
      </c>
      <c r="S20" s="24">
        <v>-1.6312407315867583E-2</v>
      </c>
      <c r="T20" s="24">
        <v>3.1004650697604497E-2</v>
      </c>
      <c r="U20" s="24">
        <v>8.3422162487833962E-3</v>
      </c>
      <c r="V20" s="24">
        <v>-2.6465656341949417E-2</v>
      </c>
      <c r="W20" s="25">
        <v>0.16088495272615355</v>
      </c>
      <c r="X20" s="24">
        <v>3.157293436255082E-2</v>
      </c>
      <c r="Y20" s="24">
        <v>5.3467914476055922E-2</v>
      </c>
      <c r="Z20" s="24">
        <v>-6.3306080665492814E-4</v>
      </c>
      <c r="AA20" s="25">
        <v>7.7735495516838782E-2</v>
      </c>
      <c r="AB20" s="25">
        <v>-0.55259599972123485</v>
      </c>
      <c r="AC20" s="51">
        <v>-8.5957184238040552E-2</v>
      </c>
      <c r="AD20" s="51">
        <v>3.1671617720467449E-2</v>
      </c>
      <c r="AE20" s="51">
        <v>6.3104066125214242E-2</v>
      </c>
      <c r="AF20" s="51">
        <v>0.20511886144651625</v>
      </c>
      <c r="AG20" s="51">
        <v>0.23504161978778093</v>
      </c>
      <c r="AH20" s="51">
        <v>0.19546690182878645</v>
      </c>
      <c r="AI20" s="51">
        <v>3.9254495744926787E-2</v>
      </c>
      <c r="AJ20" s="51">
        <v>0.13942925474732282</v>
      </c>
      <c r="AK20" s="51">
        <v>-4.5548143076402314E-2</v>
      </c>
      <c r="AL20" s="51">
        <v>8.8056346736673508E-2</v>
      </c>
      <c r="AM20" s="51">
        <v>0.13183989043372368</v>
      </c>
      <c r="AN20" s="51">
        <v>3.6233577335931022E-2</v>
      </c>
    </row>
    <row r="21" spans="1:40" x14ac:dyDescent="0.25">
      <c r="A21" s="1">
        <f t="shared" si="0"/>
        <v>38412</v>
      </c>
      <c r="B21" s="24">
        <v>-0.12703275394068902</v>
      </c>
      <c r="C21" s="24">
        <v>6.1724031281756631E-2</v>
      </c>
      <c r="D21" s="24">
        <v>0.30687207055507004</v>
      </c>
      <c r="E21" s="24">
        <v>0.3078876959450334</v>
      </c>
      <c r="F21" s="24">
        <v>0.11432662270045113</v>
      </c>
      <c r="G21" s="24">
        <v>0.12911393491886325</v>
      </c>
      <c r="H21" s="24">
        <v>0.12900939240033549</v>
      </c>
      <c r="I21" s="24">
        <v>0.12182393519891366</v>
      </c>
      <c r="J21" s="24">
        <v>0.14387171230499818</v>
      </c>
      <c r="K21" s="24">
        <v>9.7415130757294799E-2</v>
      </c>
      <c r="L21" s="24">
        <v>0.18911287159777235</v>
      </c>
      <c r="M21" s="24">
        <v>0.19114643459728264</v>
      </c>
      <c r="N21" s="24">
        <v>0.12931055805371283</v>
      </c>
      <c r="O21" s="24">
        <v>0.18806833427745162</v>
      </c>
      <c r="P21" s="24">
        <v>0.12674691530825388</v>
      </c>
      <c r="Q21" s="24">
        <v>0.10430789416138198</v>
      </c>
      <c r="R21" s="24">
        <v>0.16346056323743197</v>
      </c>
      <c r="S21" s="24">
        <v>0.28323993886907783</v>
      </c>
      <c r="T21" s="24">
        <v>0.12955320294275974</v>
      </c>
      <c r="U21" s="24">
        <v>0.11742641312841884</v>
      </c>
      <c r="V21" s="24">
        <v>9.1689958415706041E-3</v>
      </c>
      <c r="W21" s="25">
        <v>0.19279790387583118</v>
      </c>
      <c r="X21" s="24">
        <v>0.31318346984529777</v>
      </c>
      <c r="Y21" s="24">
        <v>0.18236837430315456</v>
      </c>
      <c r="Z21" s="24">
        <v>0.20436909783436374</v>
      </c>
      <c r="AA21" s="25">
        <v>0.13530195152716695</v>
      </c>
      <c r="AB21" s="25">
        <v>0.69336088036310706</v>
      </c>
      <c r="AC21" s="51">
        <v>0.3271630634681717</v>
      </c>
      <c r="AD21" s="51">
        <v>4.5912925116647463E-2</v>
      </c>
      <c r="AE21" s="51">
        <v>9.3327761020459921E-2</v>
      </c>
      <c r="AF21" s="51">
        <v>0.12214118433503396</v>
      </c>
      <c r="AG21" s="51">
        <v>0.13725455986009449</v>
      </c>
      <c r="AH21" s="51">
        <v>0.11481460245225117</v>
      </c>
      <c r="AI21" s="51">
        <v>4.8523993496323081E-2</v>
      </c>
      <c r="AJ21" s="51">
        <v>0.19419446508243454</v>
      </c>
      <c r="AK21" s="51">
        <v>7.0961240405055026E-2</v>
      </c>
      <c r="AL21" s="51">
        <v>1.0114860529808478E-2</v>
      </c>
      <c r="AM21" s="51">
        <v>0.18160640943871909</v>
      </c>
      <c r="AN21" s="51">
        <v>0.13347383545330205</v>
      </c>
    </row>
    <row r="22" spans="1:40" x14ac:dyDescent="0.25">
      <c r="A22" s="1">
        <f t="shared" si="0"/>
        <v>38504</v>
      </c>
      <c r="B22" s="24">
        <v>-9.4197511816766499E-2</v>
      </c>
      <c r="C22" s="24">
        <v>0.16599328366040522</v>
      </c>
      <c r="D22" s="24">
        <v>0.41857670579326345</v>
      </c>
      <c r="E22" s="24">
        <v>0.42021724267866456</v>
      </c>
      <c r="F22" s="24">
        <v>0.11084775891987975</v>
      </c>
      <c r="G22" s="24">
        <v>0.16456795914709255</v>
      </c>
      <c r="H22" s="24">
        <v>0.10333963219583286</v>
      </c>
      <c r="I22" s="24">
        <v>0.10101473318035015</v>
      </c>
      <c r="J22" s="24">
        <v>0.10819032226093439</v>
      </c>
      <c r="K22" s="24">
        <v>7.4130639097744311E-2</v>
      </c>
      <c r="L22" s="24">
        <v>0.14720625092142114</v>
      </c>
      <c r="M22" s="24">
        <v>0.24860894235633091</v>
      </c>
      <c r="N22" s="24">
        <v>0.26344552480678129</v>
      </c>
      <c r="O22" s="24">
        <v>0.22478853486435546</v>
      </c>
      <c r="P22" s="24">
        <v>9.4209709055246948E-2</v>
      </c>
      <c r="Q22" s="24">
        <v>-2.3217006457229017E-3</v>
      </c>
      <c r="R22" s="24">
        <v>5.8021499523744691E-2</v>
      </c>
      <c r="S22" s="24">
        <v>6.422478675363763E-2</v>
      </c>
      <c r="T22" s="24">
        <v>7.7156897512538514E-2</v>
      </c>
      <c r="U22" s="24">
        <v>0.1473275692670466</v>
      </c>
      <c r="V22" s="24">
        <v>9.1176605119918097E-3</v>
      </c>
      <c r="W22" s="25">
        <v>0.15539855497806854</v>
      </c>
      <c r="X22" s="24">
        <v>-5.5552248005547367E-2</v>
      </c>
      <c r="Y22" s="24">
        <v>0.11530062872803004</v>
      </c>
      <c r="Z22" s="24">
        <v>0.13843788161484194</v>
      </c>
      <c r="AA22" s="25">
        <v>8.5529127735136878E-2</v>
      </c>
      <c r="AB22" s="25">
        <v>-0.52165243748109469</v>
      </c>
      <c r="AC22" s="51">
        <v>0.30587006262264538</v>
      </c>
      <c r="AD22" s="51">
        <v>0.14404175406077746</v>
      </c>
      <c r="AE22" s="51">
        <v>0.11700292851455485</v>
      </c>
      <c r="AF22" s="51">
        <v>5.0881655107821278E-2</v>
      </c>
      <c r="AG22" s="51">
        <v>5.6110097409250104E-2</v>
      </c>
      <c r="AH22" s="51">
        <v>4.9052003787955156E-2</v>
      </c>
      <c r="AI22" s="51">
        <v>2.0959891744814607E-2</v>
      </c>
      <c r="AJ22" s="51">
        <v>0.1738917517160472</v>
      </c>
      <c r="AK22" s="51">
        <v>0.16213070587329681</v>
      </c>
      <c r="AL22" s="51">
        <v>5.0272451474182578E-3</v>
      </c>
      <c r="AM22" s="51">
        <v>0.16501925419792163</v>
      </c>
      <c r="AN22" s="51">
        <v>7.1877206975125452E-2</v>
      </c>
    </row>
    <row r="23" spans="1:40" x14ac:dyDescent="0.25">
      <c r="A23" s="1">
        <f t="shared" si="0"/>
        <v>38596</v>
      </c>
      <c r="B23" s="24">
        <v>6.5454333508189189E-2</v>
      </c>
      <c r="C23" s="24">
        <v>0.21052586995561273</v>
      </c>
      <c r="D23" s="24">
        <v>0.29294225856389255</v>
      </c>
      <c r="E23" s="24">
        <v>0.29408773230459784</v>
      </c>
      <c r="F23" s="24">
        <v>5.7629204265791545E-2</v>
      </c>
      <c r="G23" s="24">
        <v>0.27397707818768713</v>
      </c>
      <c r="H23" s="24">
        <v>0.14706879325207378</v>
      </c>
      <c r="I23" s="24">
        <v>0.13108816420157599</v>
      </c>
      <c r="J23" s="24">
        <v>0.18097227120874071</v>
      </c>
      <c r="K23" s="24">
        <v>0.1164022346368716</v>
      </c>
      <c r="L23" s="24">
        <v>8.8512763596004573E-2</v>
      </c>
      <c r="M23" s="24">
        <v>0.25464525223185697</v>
      </c>
      <c r="N23" s="24">
        <v>0.46876912104571899</v>
      </c>
      <c r="O23" s="24">
        <v>0.23937071851841463</v>
      </c>
      <c r="P23" s="24">
        <v>0.11059407632237517</v>
      </c>
      <c r="Q23" s="24">
        <v>-2.9875971814139701E-2</v>
      </c>
      <c r="R23" s="24">
        <v>0.12585791960067749</v>
      </c>
      <c r="S23" s="24">
        <v>8.3080040526849031E-2</v>
      </c>
      <c r="T23" s="24">
        <v>0.14731512011304737</v>
      </c>
      <c r="U23" s="24">
        <v>0.16741636937076687</v>
      </c>
      <c r="V23" s="24">
        <v>7.2887492315048652E-2</v>
      </c>
      <c r="W23" s="25">
        <v>0.14933254348425584</v>
      </c>
      <c r="X23" s="24">
        <v>-0.12416534601938778</v>
      </c>
      <c r="Y23" s="24">
        <v>0.13218682884392319</v>
      </c>
      <c r="Z23" s="24">
        <v>0.18084791227549024</v>
      </c>
      <c r="AA23" s="25">
        <v>6.330201678884273E-2</v>
      </c>
      <c r="AB23" s="25">
        <v>1.0723128784940785</v>
      </c>
      <c r="AC23" s="51">
        <v>0.28413272117482324</v>
      </c>
      <c r="AD23" s="51">
        <v>0.19173512350744026</v>
      </c>
      <c r="AE23" s="51">
        <v>0.12079169213269858</v>
      </c>
      <c r="AF23" s="51">
        <v>1.298819264239004E-2</v>
      </c>
      <c r="AG23" s="51">
        <v>1.1894514853960203E-2</v>
      </c>
      <c r="AH23" s="51">
        <v>1.2968905136446329E-2</v>
      </c>
      <c r="AI23" s="51">
        <v>2.1950641573380558E-2</v>
      </c>
      <c r="AJ23" s="51">
        <v>0.1678415491278904</v>
      </c>
      <c r="AK23" s="51">
        <v>1.8845225267005938E-2</v>
      </c>
      <c r="AL23" s="51">
        <v>-8.6126069681814466E-3</v>
      </c>
      <c r="AM23" s="51">
        <v>0.15517447273771801</v>
      </c>
      <c r="AN23" s="51">
        <v>9.6947391988380094E-2</v>
      </c>
    </row>
    <row r="24" spans="1:40" x14ac:dyDescent="0.25">
      <c r="A24" s="1">
        <f t="shared" si="0"/>
        <v>38687</v>
      </c>
      <c r="B24" s="24">
        <v>0.28457846450989877</v>
      </c>
      <c r="C24" s="24">
        <v>0.30673348461353078</v>
      </c>
      <c r="D24" s="24">
        <v>0.3579139222472274</v>
      </c>
      <c r="E24" s="24">
        <v>0.35996168617936575</v>
      </c>
      <c r="F24" s="24">
        <v>-6.6113161131611364E-2</v>
      </c>
      <c r="G24" s="24">
        <v>0.27560995904588159</v>
      </c>
      <c r="H24" s="24">
        <v>0.14154754203611919</v>
      </c>
      <c r="I24" s="24">
        <v>0.12494811419489182</v>
      </c>
      <c r="J24" s="24">
        <v>0.1777266576454668</v>
      </c>
      <c r="K24" s="24">
        <v>6.0378574415718811E-2</v>
      </c>
      <c r="L24" s="24">
        <v>7.3703678334132494E-2</v>
      </c>
      <c r="M24" s="24">
        <v>0.20127409079912928</v>
      </c>
      <c r="N24" s="24">
        <v>0.45701926288648753</v>
      </c>
      <c r="O24" s="24">
        <v>0.23115356943001042</v>
      </c>
      <c r="P24" s="24">
        <v>0.12506044308481767</v>
      </c>
      <c r="Q24" s="24">
        <v>4.8121684529609077E-2</v>
      </c>
      <c r="R24" s="24">
        <v>0.22763448355989313</v>
      </c>
      <c r="S24" s="24">
        <v>6.0301507537687815E-3</v>
      </c>
      <c r="T24" s="24">
        <v>6.8875200077605836E-2</v>
      </c>
      <c r="U24" s="24">
        <v>8.8247460587397075E-2</v>
      </c>
      <c r="V24" s="24">
        <v>0.1232511658894071</v>
      </c>
      <c r="W24" s="25">
        <v>0.1145132230715229</v>
      </c>
      <c r="X24" s="24">
        <v>0.31032261108987047</v>
      </c>
      <c r="Y24" s="24">
        <v>0.10325029249017925</v>
      </c>
      <c r="Z24" s="24">
        <v>0.15623054197002384</v>
      </c>
      <c r="AA24" s="25">
        <v>3.041067146282983E-2</v>
      </c>
      <c r="AB24" s="25">
        <v>3.413034673977382</v>
      </c>
      <c r="AC24" s="51">
        <v>0.20749131364749385</v>
      </c>
      <c r="AD24" s="51">
        <v>0.28649541185068883</v>
      </c>
      <c r="AE24" s="51">
        <v>0.13311201015110674</v>
      </c>
      <c r="AF24" s="51">
        <v>-1.9903878685623155E-2</v>
      </c>
      <c r="AG24" s="51">
        <v>-3.0621594251820428E-2</v>
      </c>
      <c r="AH24" s="51">
        <v>-1.996736778257191E-2</v>
      </c>
      <c r="AI24" s="51">
        <v>7.1037927405848356E-2</v>
      </c>
      <c r="AJ24" s="51">
        <v>0.23009691170838753</v>
      </c>
      <c r="AK24" s="51">
        <v>-0.10419322321366664</v>
      </c>
      <c r="AL24" s="51">
        <v>0.47144645446023592</v>
      </c>
      <c r="AM24" s="51">
        <v>0.23494763820403142</v>
      </c>
      <c r="AN24" s="51">
        <v>0.17692655489561249</v>
      </c>
    </row>
    <row r="25" spans="1:40" x14ac:dyDescent="0.25">
      <c r="A25" s="1">
        <f t="shared" si="0"/>
        <v>38777</v>
      </c>
      <c r="B25" s="24">
        <v>0.17104089673728518</v>
      </c>
      <c r="C25" s="24">
        <v>0.40907199334165623</v>
      </c>
      <c r="D25" s="24">
        <v>0.30277948989898817</v>
      </c>
      <c r="E25" s="24">
        <v>0.30447309235767106</v>
      </c>
      <c r="F25" s="24">
        <v>-7.409570533037424E-2</v>
      </c>
      <c r="G25" s="24">
        <v>0.30753209503003243</v>
      </c>
      <c r="H25" s="24">
        <v>8.7391860929690202E-2</v>
      </c>
      <c r="I25" s="24">
        <v>7.3723238306241834E-2</v>
      </c>
      <c r="J25" s="24">
        <v>0.11511895354744017</v>
      </c>
      <c r="K25" s="24">
        <v>5.2032968927820056E-2</v>
      </c>
      <c r="L25" s="24">
        <v>8.1134564643798868E-3</v>
      </c>
      <c r="M25" s="24">
        <v>0.1076900137920751</v>
      </c>
      <c r="N25" s="24">
        <v>0.72146051715150539</v>
      </c>
      <c r="O25" s="24">
        <v>0.2006072925292981</v>
      </c>
      <c r="P25" s="24">
        <v>9.2030578117534567E-2</v>
      </c>
      <c r="Q25" s="24">
        <v>-4.3044554455445527E-2</v>
      </c>
      <c r="R25" s="24">
        <v>4.8323356773406045E-2</v>
      </c>
      <c r="S25" s="24">
        <v>-6.3517268757443457E-2</v>
      </c>
      <c r="T25" s="24">
        <v>6.9049510193275099E-2</v>
      </c>
      <c r="U25" s="24">
        <v>6.8301552519931086E-2</v>
      </c>
      <c r="V25" s="24">
        <v>1.3459654811362354E-2</v>
      </c>
      <c r="W25" s="25">
        <v>0.1347912487841656</v>
      </c>
      <c r="X25" s="24">
        <v>6.3865980458062133E-2</v>
      </c>
      <c r="Y25" s="24">
        <v>5.4363824056991916E-2</v>
      </c>
      <c r="Z25" s="24">
        <v>8.2744975346588534E-2</v>
      </c>
      <c r="AA25" s="25">
        <v>3.540386201408241E-2</v>
      </c>
      <c r="AB25" s="25">
        <v>-4.3537079532452116E-2</v>
      </c>
      <c r="AC25" s="51">
        <v>7.4332431569341217E-2</v>
      </c>
      <c r="AD25" s="51">
        <v>0.39196443654701629</v>
      </c>
      <c r="AE25" s="51">
        <v>0.1010724577947224</v>
      </c>
      <c r="AF25" s="51">
        <v>-2.9023060362068698E-2</v>
      </c>
      <c r="AG25" s="51">
        <v>-4.1441771522476523E-2</v>
      </c>
      <c r="AH25" s="51">
        <v>-2.6148099021425675E-2</v>
      </c>
      <c r="AI25" s="51">
        <v>5.3754339042849875E-2</v>
      </c>
      <c r="AJ25" s="51">
        <v>0.16067849559734149</v>
      </c>
      <c r="AK25" s="51">
        <v>-0.21415680655300717</v>
      </c>
      <c r="AL25" s="51">
        <v>0.16145197978482373</v>
      </c>
      <c r="AM25" s="51">
        <v>0.15370503924959822</v>
      </c>
      <c r="AN25" s="51">
        <v>8.7661270666440361E-2</v>
      </c>
    </row>
    <row r="26" spans="1:40" x14ac:dyDescent="0.25">
      <c r="A26" s="1">
        <f t="shared" si="0"/>
        <v>38869</v>
      </c>
      <c r="B26" s="24">
        <v>0.10358788999565705</v>
      </c>
      <c r="C26" s="24">
        <v>0.49977499268726233</v>
      </c>
      <c r="D26" s="24">
        <v>0.29115447919562332</v>
      </c>
      <c r="E26" s="24">
        <v>0.29242510058743854</v>
      </c>
      <c r="F26" s="24">
        <v>-1.3563971652823303E-2</v>
      </c>
      <c r="G26" s="24">
        <v>0.16080222635431851</v>
      </c>
      <c r="H26" s="24">
        <v>7.4623240173685046E-2</v>
      </c>
      <c r="I26" s="24">
        <v>5.5178593652768892E-2</v>
      </c>
      <c r="J26" s="24">
        <v>0.11493003481060549</v>
      </c>
      <c r="K26" s="24">
        <v>4.6094006343651017E-2</v>
      </c>
      <c r="L26" s="24">
        <v>2.5701985478376876E-4</v>
      </c>
      <c r="M26" s="24">
        <v>5.3053388054180584E-2</v>
      </c>
      <c r="N26" s="24">
        <v>0.28233669055662536</v>
      </c>
      <c r="O26" s="24">
        <v>0.17003029652424906</v>
      </c>
      <c r="P26" s="24">
        <v>8.7116048921669353E-2</v>
      </c>
      <c r="Q26" s="24">
        <v>-3.6215547960148364E-2</v>
      </c>
      <c r="R26" s="24">
        <v>8.5448980116778595E-2</v>
      </c>
      <c r="S26" s="24">
        <v>0.17538896746817545</v>
      </c>
      <c r="T26" s="24">
        <v>8.597497883548133E-2</v>
      </c>
      <c r="U26" s="24">
        <v>4.1404410190537311E-2</v>
      </c>
      <c r="V26" s="24">
        <v>-7.6860315781521416E-2</v>
      </c>
      <c r="W26" s="25">
        <v>0.13804936173357207</v>
      </c>
      <c r="X26" s="24">
        <v>0.43360173835979388</v>
      </c>
      <c r="Y26" s="24">
        <v>0.11946632795977163</v>
      </c>
      <c r="Z26" s="24">
        <v>9.7522270894180529E-2</v>
      </c>
      <c r="AA26" s="25">
        <v>7.7502259528049455E-2</v>
      </c>
      <c r="AB26" s="25">
        <v>2.1274261821185192E-2</v>
      </c>
      <c r="AC26" s="51">
        <v>6.8304712931551048E-2</v>
      </c>
      <c r="AD26" s="51">
        <v>0.4802364912879109</v>
      </c>
      <c r="AE26" s="51">
        <v>8.3926149305857622E-2</v>
      </c>
      <c r="AF26" s="51">
        <v>0.1856535965915973</v>
      </c>
      <c r="AG26" s="51">
        <v>0.21136029276545676</v>
      </c>
      <c r="AH26" s="51">
        <v>0.16749780839245076</v>
      </c>
      <c r="AI26" s="51">
        <v>8.0735958499009497E-2</v>
      </c>
      <c r="AJ26" s="51">
        <v>0.1950957314945716</v>
      </c>
      <c r="AK26" s="51">
        <v>-6.5604044182910215E-2</v>
      </c>
      <c r="AL26" s="51">
        <v>0.26785316549478222</v>
      </c>
      <c r="AM26" s="51">
        <v>0.19321533656127654</v>
      </c>
      <c r="AN26" s="51">
        <v>0.1456014659831486</v>
      </c>
    </row>
    <row r="27" spans="1:40" x14ac:dyDescent="0.25">
      <c r="A27" s="1">
        <f t="shared" si="0"/>
        <v>38961</v>
      </c>
      <c r="B27" s="24">
        <v>0.19148725912331477</v>
      </c>
      <c r="C27" s="24">
        <v>0.51753612539799154</v>
      </c>
      <c r="D27" s="24">
        <v>0.1651958467060537</v>
      </c>
      <c r="E27" s="24">
        <v>0.16552365032448235</v>
      </c>
      <c r="F27" s="24">
        <v>8.2761295326740481E-2</v>
      </c>
      <c r="G27" s="24">
        <v>0.20899350857015953</v>
      </c>
      <c r="H27" s="24">
        <v>8.7113540124091893E-2</v>
      </c>
      <c r="I27" s="24">
        <v>7.0755830948326714E-2</v>
      </c>
      <c r="J27" s="24">
        <v>0.12035113740465708</v>
      </c>
      <c r="K27" s="24">
        <v>1.4571948998178375E-2</v>
      </c>
      <c r="L27" s="24">
        <v>1.3318888605658774E-2</v>
      </c>
      <c r="M27" s="24">
        <v>3.2309132692144082E-2</v>
      </c>
      <c r="N27" s="24">
        <v>0.35509326823573129</v>
      </c>
      <c r="O27" s="24">
        <v>0.13853283598960098</v>
      </c>
      <c r="P27" s="24">
        <v>8.3970570934725819E-2</v>
      </c>
      <c r="Q27" s="24">
        <v>-1.4017689627445762E-2</v>
      </c>
      <c r="R27" s="24">
        <v>0.26070778244002835</v>
      </c>
      <c r="S27" s="24">
        <v>7.7642656688493794E-2</v>
      </c>
      <c r="T27" s="24">
        <v>9.3451708919223941E-2</v>
      </c>
      <c r="U27" s="24">
        <v>4.0480092120997346E-2</v>
      </c>
      <c r="V27" s="24">
        <v>7.5846810136253717E-2</v>
      </c>
      <c r="W27" s="25">
        <v>6.9412601084155368E-2</v>
      </c>
      <c r="X27" s="24">
        <v>0.43759252856006259</v>
      </c>
      <c r="Y27" s="24">
        <v>8.7282480403648499E-2</v>
      </c>
      <c r="Z27" s="24">
        <v>0.1076914180245474</v>
      </c>
      <c r="AA27" s="25">
        <v>0.12489257682804</v>
      </c>
      <c r="AB27" s="25">
        <v>8.3263754930469558E-2</v>
      </c>
      <c r="AC27" s="51">
        <v>5.1342225152352761E-2</v>
      </c>
      <c r="AD27" s="51">
        <v>0.49510327777334728</v>
      </c>
      <c r="AE27" s="51">
        <v>7.779225462985262E-2</v>
      </c>
      <c r="AF27" s="51">
        <v>2.9005170902416166E-2</v>
      </c>
      <c r="AG27" s="51">
        <v>2.2364413171779951E-2</v>
      </c>
      <c r="AH27" s="51">
        <v>2.7984803531752256E-2</v>
      </c>
      <c r="AI27" s="51">
        <v>8.7694275034428504E-2</v>
      </c>
      <c r="AJ27" s="51">
        <v>0.14834221509652901</v>
      </c>
      <c r="AK27" s="51">
        <v>-5.5082964498103015E-2</v>
      </c>
      <c r="AL27" s="51">
        <v>0.2491393793740333</v>
      </c>
      <c r="AM27" s="51">
        <v>0.14908929374261404</v>
      </c>
      <c r="AN27" s="51">
        <v>0.14106561976777043</v>
      </c>
    </row>
    <row r="28" spans="1:40" x14ac:dyDescent="0.25">
      <c r="A28" s="1">
        <f t="shared" si="0"/>
        <v>39052</v>
      </c>
      <c r="B28" s="24">
        <v>-2.7828543634287439E-2</v>
      </c>
      <c r="C28" s="24">
        <v>0.50657381887023556</v>
      </c>
      <c r="D28" s="24">
        <v>3.1226175193849848E-2</v>
      </c>
      <c r="E28" s="24">
        <v>3.1094411919026399E-2</v>
      </c>
      <c r="F28" s="24">
        <v>7.0999341455383558E-2</v>
      </c>
      <c r="G28" s="24">
        <v>-3.4440115836401719E-2</v>
      </c>
      <c r="H28" s="24">
        <v>8.5802544751516274E-2</v>
      </c>
      <c r="I28" s="24">
        <v>7.6902941770107702E-2</v>
      </c>
      <c r="J28" s="24">
        <v>0.10433032739257886</v>
      </c>
      <c r="K28" s="24">
        <v>-1.9790521755996715E-2</v>
      </c>
      <c r="L28" s="24">
        <v>-1.658692185007915E-3</v>
      </c>
      <c r="M28" s="24">
        <v>4.1484862724038285E-2</v>
      </c>
      <c r="N28" s="24">
        <v>-0.16191945359807203</v>
      </c>
      <c r="O28" s="24">
        <v>8.0538510654416084E-2</v>
      </c>
      <c r="P28" s="24">
        <v>7.9178654129534731E-2</v>
      </c>
      <c r="Q28" s="24">
        <v>0.25734648556525319</v>
      </c>
      <c r="R28" s="24">
        <v>0.31413699278362706</v>
      </c>
      <c r="S28" s="24">
        <v>-5.3446553446553358E-2</v>
      </c>
      <c r="T28" s="24">
        <v>4.3926124245587062E-2</v>
      </c>
      <c r="U28" s="24">
        <v>2.5552223676986063E-2</v>
      </c>
      <c r="V28" s="24">
        <v>0.11871076006133707</v>
      </c>
      <c r="W28" s="25">
        <v>0.15559216467054005</v>
      </c>
      <c r="X28" s="24">
        <v>0.33733916115010931</v>
      </c>
      <c r="Y28" s="24">
        <v>0.16858004143851368</v>
      </c>
      <c r="Z28" s="24">
        <v>0.14280997332487044</v>
      </c>
      <c r="AA28" s="25">
        <v>0.18900214306147478</v>
      </c>
      <c r="AB28" s="25">
        <v>8.733957389131275E-2</v>
      </c>
      <c r="AC28" s="51">
        <v>8.6778987529218199E-2</v>
      </c>
      <c r="AD28" s="51">
        <v>0.47647126896290537</v>
      </c>
      <c r="AE28" s="51">
        <v>7.8153620900110576E-2</v>
      </c>
      <c r="AF28" s="51">
        <v>0.23924863690699616</v>
      </c>
      <c r="AG28" s="51">
        <v>0.27003735494432934</v>
      </c>
      <c r="AH28" s="51">
        <v>0.21937824744427403</v>
      </c>
      <c r="AI28" s="51">
        <v>0.10546053359902574</v>
      </c>
      <c r="AJ28" s="51">
        <v>9.0061763544409867E-2</v>
      </c>
      <c r="AK28" s="51">
        <v>-3.4502775999881719E-3</v>
      </c>
      <c r="AL28" s="51">
        <v>-0.22205392161517934</v>
      </c>
      <c r="AM28" s="51">
        <v>6.9641869764109465E-2</v>
      </c>
      <c r="AN28" s="51">
        <v>9.0555592834154597E-2</v>
      </c>
    </row>
    <row r="29" spans="1:40" x14ac:dyDescent="0.25">
      <c r="A29" s="1">
        <f t="shared" si="0"/>
        <v>39142</v>
      </c>
      <c r="B29" s="24">
        <v>7.4867350719221681E-2</v>
      </c>
      <c r="C29" s="24">
        <v>0.50641464855286467</v>
      </c>
      <c r="D29" s="24">
        <v>-4.3361235221529348E-2</v>
      </c>
      <c r="E29" s="24">
        <v>-4.4580812650047097E-2</v>
      </c>
      <c r="F29" s="24">
        <v>0.33894028595458359</v>
      </c>
      <c r="G29" s="24">
        <v>-3.7097821004612896E-2</v>
      </c>
      <c r="H29" s="24">
        <v>7.8734733971272508E-2</v>
      </c>
      <c r="I29" s="24">
        <v>7.5152812824939907E-2</v>
      </c>
      <c r="J29" s="24">
        <v>8.5731007102070489E-2</v>
      </c>
      <c r="K29" s="24">
        <v>-1.5911728261510882E-2</v>
      </c>
      <c r="L29" s="24">
        <v>-4.7111169273048592E-3</v>
      </c>
      <c r="M29" s="24">
        <v>7.6204738188181631E-2</v>
      </c>
      <c r="N29" s="24">
        <v>-0.17467470587711409</v>
      </c>
      <c r="O29" s="24">
        <v>3.1425704909809005E-2</v>
      </c>
      <c r="P29" s="24">
        <v>0.11420971115058487</v>
      </c>
      <c r="Q29" s="24">
        <v>8.41157755878017E-2</v>
      </c>
      <c r="R29" s="24">
        <v>0.3691271447182416</v>
      </c>
      <c r="S29" s="24">
        <v>-4.9173378550233071E-2</v>
      </c>
      <c r="T29" s="24">
        <v>0.12957551141710821</v>
      </c>
      <c r="U29" s="24">
        <v>0.10932181199266822</v>
      </c>
      <c r="V29" s="24">
        <v>0.11227941544050246</v>
      </c>
      <c r="W29" s="25">
        <v>8.8014075034039463E-2</v>
      </c>
      <c r="X29" s="24">
        <v>0.41540951684291105</v>
      </c>
      <c r="Y29" s="24">
        <v>0.12771105798300897</v>
      </c>
      <c r="Z29" s="24">
        <v>0.1297844877965304</v>
      </c>
      <c r="AA29" s="25">
        <v>0.14411527077810971</v>
      </c>
      <c r="AB29" s="25">
        <v>5.1156642432253818E-2</v>
      </c>
      <c r="AC29" s="51">
        <v>0.10388779943919357</v>
      </c>
      <c r="AD29" s="51">
        <v>0.46783774247269916</v>
      </c>
      <c r="AE29" s="51">
        <v>5.8021108876369354E-2</v>
      </c>
      <c r="AF29" s="51">
        <v>0.1209178589509281</v>
      </c>
      <c r="AG29" s="51">
        <v>0.12751427008615246</v>
      </c>
      <c r="AH29" s="51">
        <v>0.11595792142163197</v>
      </c>
      <c r="AI29" s="51">
        <v>9.7710964554039714E-2</v>
      </c>
      <c r="AJ29" s="51">
        <v>5.9330259980704847E-2</v>
      </c>
      <c r="AK29" s="51">
        <v>0.28544236305470516</v>
      </c>
      <c r="AL29" s="51">
        <v>0.12725398973581425</v>
      </c>
      <c r="AM29" s="51">
        <v>6.5400365322383802E-2</v>
      </c>
      <c r="AN29" s="51">
        <v>0.12311440419533048</v>
      </c>
    </row>
    <row r="30" spans="1:40" x14ac:dyDescent="0.25">
      <c r="A30" s="1">
        <f t="shared" si="0"/>
        <v>39234</v>
      </c>
      <c r="B30" s="24">
        <v>0.12692366540231848</v>
      </c>
      <c r="C30" s="24">
        <v>0.48660880610711477</v>
      </c>
      <c r="D30" s="24">
        <v>-1.5354067735528276E-2</v>
      </c>
      <c r="E30" s="24">
        <v>-1.5857642135795769E-2</v>
      </c>
      <c r="F30" s="24">
        <v>0.14287369640787961</v>
      </c>
      <c r="G30" s="24">
        <v>0.12300077751459404</v>
      </c>
      <c r="H30" s="24">
        <v>6.8278811047859156E-2</v>
      </c>
      <c r="I30" s="24">
        <v>6.660093068313544E-2</v>
      </c>
      <c r="J30" s="24">
        <v>7.1570490670352482E-2</v>
      </c>
      <c r="K30" s="24">
        <v>-3.4764198103652832E-3</v>
      </c>
      <c r="L30" s="24">
        <v>-1.1305967752296642E-2</v>
      </c>
      <c r="M30" s="24">
        <v>9.8586601990465761E-2</v>
      </c>
      <c r="N30" s="24">
        <v>0.18767242514855798</v>
      </c>
      <c r="O30" s="24">
        <v>1.2732814777812962E-2</v>
      </c>
      <c r="P30" s="24">
        <v>0.10715297876177621</v>
      </c>
      <c r="Q30" s="24">
        <v>-3.2696999421522044E-4</v>
      </c>
      <c r="R30" s="24">
        <v>0.17502784426171236</v>
      </c>
      <c r="S30" s="24">
        <v>4.2519053349378222E-2</v>
      </c>
      <c r="T30" s="24">
        <v>0.12797747942832394</v>
      </c>
      <c r="U30" s="24">
        <v>0.11997368637447581</v>
      </c>
      <c r="V30" s="24">
        <v>0.16504631902844613</v>
      </c>
      <c r="W30" s="25">
        <v>0.13346590102063582</v>
      </c>
      <c r="X30" s="24">
        <v>0.20839638087700108</v>
      </c>
      <c r="Y30" s="24">
        <v>0.1405980187738185</v>
      </c>
      <c r="Z30" s="24">
        <v>0.13996252364270934</v>
      </c>
      <c r="AA30" s="25">
        <v>0.17377212375293927</v>
      </c>
      <c r="AB30" s="25">
        <v>-2.4318740404238204E-2</v>
      </c>
      <c r="AC30" s="51">
        <v>0.10780524057030982</v>
      </c>
      <c r="AD30" s="51">
        <v>0.44913607367665076</v>
      </c>
      <c r="AE30" s="51">
        <v>5.7511579225832277E-2</v>
      </c>
      <c r="AF30" s="51">
        <v>0.14237231153829577</v>
      </c>
      <c r="AG30" s="51">
        <v>0.14857901044991473</v>
      </c>
      <c r="AH30" s="51">
        <v>0.14145091297506851</v>
      </c>
      <c r="AI30" s="51">
        <v>9.3628019833315923E-2</v>
      </c>
      <c r="AJ30" s="51">
        <v>7.7711676919900441E-2</v>
      </c>
      <c r="AK30" s="51">
        <v>4.6629994045424894E-2</v>
      </c>
      <c r="AL30" s="51">
        <v>-3.5570838403301885E-2</v>
      </c>
      <c r="AM30" s="51">
        <v>7.192200357263423E-2</v>
      </c>
      <c r="AN30" s="51">
        <v>0.11974282405554781</v>
      </c>
    </row>
    <row r="31" spans="1:40" x14ac:dyDescent="0.25">
      <c r="A31" s="1">
        <f t="shared" si="0"/>
        <v>39326</v>
      </c>
      <c r="B31" s="24">
        <v>7.8209605564047102E-2</v>
      </c>
      <c r="C31" s="24">
        <v>0.44285460669960597</v>
      </c>
      <c r="D31" s="24">
        <v>4.1975810482827614E-2</v>
      </c>
      <c r="E31" s="24">
        <v>4.2469713565267408E-2</v>
      </c>
      <c r="F31" s="24">
        <v>-9.1622192771947497E-2</v>
      </c>
      <c r="G31" s="24">
        <v>3.9550433490598724E-2</v>
      </c>
      <c r="H31" s="24">
        <v>8.2567135429445937E-2</v>
      </c>
      <c r="I31" s="24">
        <v>7.9490964166678113E-2</v>
      </c>
      <c r="J31" s="24">
        <v>8.8540980267650671E-2</v>
      </c>
      <c r="K31" s="24">
        <v>3.3815376723814738E-2</v>
      </c>
      <c r="L31" s="24">
        <v>1.9495629205710241E-2</v>
      </c>
      <c r="M31" s="24">
        <v>0.10885015583002144</v>
      </c>
      <c r="N31" s="24">
        <v>-1.8171351141780256E-3</v>
      </c>
      <c r="O31" s="24">
        <v>-2.9783769831026596E-4</v>
      </c>
      <c r="P31" s="24">
        <v>8.9779766575946329E-2</v>
      </c>
      <c r="Q31" s="24">
        <v>0.19259521026449566</v>
      </c>
      <c r="R31" s="24">
        <v>0.1532278322029641</v>
      </c>
      <c r="S31" s="24">
        <v>0.21223958333333326</v>
      </c>
      <c r="T31" s="24">
        <v>0.17942460224339429</v>
      </c>
      <c r="U31" s="24">
        <v>0.12982590558889884</v>
      </c>
      <c r="V31" s="24">
        <v>0.10346358135199507</v>
      </c>
      <c r="W31" s="25">
        <v>0.17941100705495217</v>
      </c>
      <c r="X31" s="24">
        <v>0.12192295522398511</v>
      </c>
      <c r="Y31" s="24">
        <v>0.16592577267289332</v>
      </c>
      <c r="Z31" s="24">
        <v>0.14494868994094201</v>
      </c>
      <c r="AA31" s="25">
        <v>0.20443082038209148</v>
      </c>
      <c r="AB31" s="25">
        <v>0.22548837209302319</v>
      </c>
      <c r="AC31" s="51">
        <v>8.1539747245154004E-2</v>
      </c>
      <c r="AD31" s="51">
        <v>0.41037813848541904</v>
      </c>
      <c r="AE31" s="51">
        <v>6.0005184033177672E-2</v>
      </c>
      <c r="AF31" s="51">
        <v>0.23040583075163412</v>
      </c>
      <c r="AG31" s="51">
        <v>0.25014266985424527</v>
      </c>
      <c r="AH31" s="51">
        <v>0.22912145031566311</v>
      </c>
      <c r="AI31" s="51">
        <v>8.8072090694745198E-2</v>
      </c>
      <c r="AJ31" s="51">
        <v>9.4359534894280062E-2</v>
      </c>
      <c r="AK31" s="51">
        <v>0.13243940935276477</v>
      </c>
      <c r="AL31" s="51">
        <v>9.4754647101735756E-3</v>
      </c>
      <c r="AM31" s="51">
        <v>9.0719151873327686E-2</v>
      </c>
      <c r="AN31" s="51">
        <v>0.11551473198449957</v>
      </c>
    </row>
    <row r="32" spans="1:40" x14ac:dyDescent="0.25">
      <c r="A32" s="1">
        <f t="shared" si="0"/>
        <v>39417</v>
      </c>
      <c r="B32" s="24">
        <v>0.10951897825797818</v>
      </c>
      <c r="C32" s="24">
        <v>0.44394422025469105</v>
      </c>
      <c r="D32" s="24">
        <v>0.23122386482114066</v>
      </c>
      <c r="E32" s="24">
        <v>0.2327113395333702</v>
      </c>
      <c r="F32" s="24">
        <v>-0.20064563237385191</v>
      </c>
      <c r="G32" s="24">
        <v>0.48971709960101495</v>
      </c>
      <c r="H32" s="24">
        <v>6.6318992765950213E-2</v>
      </c>
      <c r="I32" s="24">
        <v>3.5481575410062138E-2</v>
      </c>
      <c r="J32" s="24">
        <v>0.12892390011890598</v>
      </c>
      <c r="K32" s="24">
        <v>8.0252491606698895E-2</v>
      </c>
      <c r="L32" s="24">
        <v>7.9110486293053839E-2</v>
      </c>
      <c r="M32" s="24">
        <v>0.1066065098291975</v>
      </c>
      <c r="N32" s="24">
        <v>1.0712780378428346</v>
      </c>
      <c r="O32" s="24">
        <v>3.2800841304021278E-2</v>
      </c>
      <c r="P32" s="24">
        <v>8.2228634128500122E-2</v>
      </c>
      <c r="Q32" s="24">
        <v>-0.16333278567321119</v>
      </c>
      <c r="R32" s="24">
        <v>-0.10015843865903284</v>
      </c>
      <c r="S32" s="24">
        <v>0.24802110817941947</v>
      </c>
      <c r="T32" s="24">
        <v>0.33362312540752015</v>
      </c>
      <c r="U32" s="24">
        <v>0.17609752079729857</v>
      </c>
      <c r="V32" s="24">
        <v>-0.10454921636579939</v>
      </c>
      <c r="W32" s="25">
        <v>0.12392413072812247</v>
      </c>
      <c r="X32" s="24">
        <v>0.15201872954547335</v>
      </c>
      <c r="Y32" s="24">
        <v>0.13680550161618932</v>
      </c>
      <c r="Z32" s="24">
        <v>0.15635396781673494</v>
      </c>
      <c r="AA32" s="25">
        <v>0.17241751940157757</v>
      </c>
      <c r="AB32" s="25">
        <v>0.29283367743108313</v>
      </c>
      <c r="AC32" s="51">
        <v>0.12546389276730618</v>
      </c>
      <c r="AD32" s="51">
        <v>0.41496282362329828</v>
      </c>
      <c r="AE32" s="51">
        <v>6.2343554893171227E-2</v>
      </c>
      <c r="AF32" s="51">
        <v>8.7369976344959577E-2</v>
      </c>
      <c r="AG32" s="51">
        <v>7.647243986822061E-2</v>
      </c>
      <c r="AH32" s="51">
        <v>0.10755076212450643</v>
      </c>
      <c r="AI32" s="51">
        <v>6.9168179257682816E-2</v>
      </c>
      <c r="AJ32" s="51">
        <v>0.19366903072903052</v>
      </c>
      <c r="AK32" s="51">
        <v>0.11031019608311743</v>
      </c>
      <c r="AL32" s="51">
        <v>0.10466805422462566</v>
      </c>
      <c r="AM32" s="51">
        <v>0.18849546115332316</v>
      </c>
      <c r="AN32" s="51">
        <v>0.16649937309052731</v>
      </c>
    </row>
    <row r="33" spans="1:40" x14ac:dyDescent="0.25">
      <c r="A33" s="1">
        <f t="shared" si="0"/>
        <v>39508</v>
      </c>
      <c r="B33" s="24">
        <v>-7.8292983963156315E-3</v>
      </c>
      <c r="C33" s="24">
        <v>0.39741056164619915</v>
      </c>
      <c r="D33" s="24">
        <v>0.45233488326841709</v>
      </c>
      <c r="E33" s="24">
        <v>0.45624787279093204</v>
      </c>
      <c r="F33" s="24">
        <v>-0.42292713567839191</v>
      </c>
      <c r="G33" s="24">
        <v>0.49043979711520924</v>
      </c>
      <c r="H33" s="24">
        <v>8.334326354381405E-2</v>
      </c>
      <c r="I33" s="24">
        <v>8.4234803554561921E-2</v>
      </c>
      <c r="J33" s="24">
        <v>8.1618857534126787E-2</v>
      </c>
      <c r="K33" s="24">
        <v>0.14661363606081212</v>
      </c>
      <c r="L33" s="24">
        <v>0.2003155611070937</v>
      </c>
      <c r="M33" s="24">
        <v>9.332249339441212E-2</v>
      </c>
      <c r="N33" s="24">
        <v>1.1224174875518353</v>
      </c>
      <c r="O33" s="24">
        <v>7.5405550545631472E-2</v>
      </c>
      <c r="P33" s="24">
        <v>7.7741041206914163E-2</v>
      </c>
      <c r="Q33" s="24">
        <v>-0.10917853649225784</v>
      </c>
      <c r="R33" s="24">
        <v>3.5672348868283743E-2</v>
      </c>
      <c r="S33" s="24">
        <v>0.31386535889433786</v>
      </c>
      <c r="T33" s="24">
        <v>0.32615654461740862</v>
      </c>
      <c r="U33" s="24">
        <v>9.0876903103977336E-2</v>
      </c>
      <c r="V33" s="24">
        <v>-1.2284828237126844E-3</v>
      </c>
      <c r="W33" s="25">
        <v>8.9537386400901475E-2</v>
      </c>
      <c r="X33" s="24">
        <v>-0.15621869487086493</v>
      </c>
      <c r="Y33" s="24">
        <v>0.15026104769153115</v>
      </c>
      <c r="Z33" s="24">
        <v>0.13110354727322449</v>
      </c>
      <c r="AA33" s="25">
        <v>0.18923009453755335</v>
      </c>
      <c r="AB33" s="25">
        <v>0.28022510060362182</v>
      </c>
      <c r="AC33" s="51">
        <v>4.6506089806208184E-2</v>
      </c>
      <c r="AD33" s="51">
        <v>0.38229700969208857</v>
      </c>
      <c r="AE33" s="51">
        <v>9.0330726185253729E-2</v>
      </c>
      <c r="AF33" s="51">
        <v>0.21352344753653285</v>
      </c>
      <c r="AG33" s="51">
        <v>0.21882700097108376</v>
      </c>
      <c r="AH33" s="51">
        <v>0.23692685915829759</v>
      </c>
      <c r="AI33" s="51">
        <v>5.8905642741181596E-2</v>
      </c>
      <c r="AJ33" s="51">
        <v>0.23039389715665681</v>
      </c>
      <c r="AK33" s="51">
        <v>0.20022254184692767</v>
      </c>
      <c r="AL33" s="51">
        <v>9.091116073383243E-2</v>
      </c>
      <c r="AM33" s="51">
        <v>0.22299928054417228</v>
      </c>
      <c r="AN33" s="51">
        <v>0.11934163580775392</v>
      </c>
    </row>
    <row r="34" spans="1:40" x14ac:dyDescent="0.25">
      <c r="A34" s="1">
        <f t="shared" si="0"/>
        <v>39600</v>
      </c>
      <c r="B34" s="24">
        <v>1.6612792680410715E-2</v>
      </c>
      <c r="C34" s="24">
        <v>0.31238867350113964</v>
      </c>
      <c r="D34" s="24">
        <v>0.38270876070939486</v>
      </c>
      <c r="E34" s="24">
        <v>0.38324473802314518</v>
      </c>
      <c r="F34" s="24">
        <v>0.23765588563317452</v>
      </c>
      <c r="G34" s="24">
        <v>0.51278795765483776</v>
      </c>
      <c r="H34" s="24">
        <v>0.10555280906983855</v>
      </c>
      <c r="I34" s="24">
        <v>9.4766206594547375E-2</v>
      </c>
      <c r="J34" s="24">
        <v>0.12661591703471675</v>
      </c>
      <c r="K34" s="24">
        <v>0.16063711893192734</v>
      </c>
      <c r="L34" s="24">
        <v>0.22649600415827442</v>
      </c>
      <c r="M34" s="24">
        <v>8.8932535513634559E-2</v>
      </c>
      <c r="N34" s="24">
        <v>0.94568580481924469</v>
      </c>
      <c r="O34" s="24">
        <v>0.10283666525739354</v>
      </c>
      <c r="P34" s="24">
        <v>8.5170418405497994E-2</v>
      </c>
      <c r="Q34" s="24">
        <v>-5.7666180244552834E-2</v>
      </c>
      <c r="R34" s="24">
        <v>0.1375214278511645</v>
      </c>
      <c r="S34" s="24">
        <v>5.5790688726433224E-2</v>
      </c>
      <c r="T34" s="24">
        <v>0.23232866193127277</v>
      </c>
      <c r="U34" s="24">
        <v>2.2026431718047412E-4</v>
      </c>
      <c r="V34" s="24">
        <v>-2.0721530724059467E-2</v>
      </c>
      <c r="W34" s="25">
        <v>5.9072047203216682E-2</v>
      </c>
      <c r="X34" s="24">
        <v>0.18835870622086581</v>
      </c>
      <c r="Y34" s="24">
        <v>0.18759867599891766</v>
      </c>
      <c r="Z34" s="24">
        <v>0.13320013211783821</v>
      </c>
      <c r="AA34" s="25">
        <v>0.19251652708366263</v>
      </c>
      <c r="AB34" s="25">
        <v>0.40441252655027715</v>
      </c>
      <c r="AC34" s="51">
        <v>4.9887299551278685E-2</v>
      </c>
      <c r="AD34" s="51">
        <v>0.30616109347980203</v>
      </c>
      <c r="AE34" s="51">
        <v>9.5342359485188988E-2</v>
      </c>
      <c r="AF34" s="51">
        <v>0.33915820070645464</v>
      </c>
      <c r="AG34" s="51">
        <v>0.36235542758277495</v>
      </c>
      <c r="AH34" s="51">
        <v>0.34998172712158415</v>
      </c>
      <c r="AI34" s="51">
        <v>6.414291226547042E-2</v>
      </c>
      <c r="AJ34" s="51">
        <v>0.2656206190888748</v>
      </c>
      <c r="AK34" s="51">
        <v>0.26443791230375369</v>
      </c>
      <c r="AL34" s="51">
        <v>0.16716184384230637</v>
      </c>
      <c r="AM34" s="51">
        <v>0.2614472794038174</v>
      </c>
      <c r="AN34" s="51">
        <v>0.20302123194611821</v>
      </c>
    </row>
    <row r="35" spans="1:40" x14ac:dyDescent="0.25">
      <c r="A35" s="1">
        <f t="shared" si="0"/>
        <v>39692</v>
      </c>
      <c r="B35" s="24">
        <v>-4.9934855635004771E-2</v>
      </c>
      <c r="C35" s="24">
        <v>0.30483776895358772</v>
      </c>
      <c r="D35" s="24">
        <v>0.35694482470806821</v>
      </c>
      <c r="E35" s="24">
        <v>0.3571240631579482</v>
      </c>
      <c r="F35" s="24">
        <v>0.30124995071172278</v>
      </c>
      <c r="G35" s="24">
        <v>0.43382546043594816</v>
      </c>
      <c r="H35" s="24">
        <v>8.0915538059174619E-2</v>
      </c>
      <c r="I35" s="24">
        <v>8.2890176053219244E-2</v>
      </c>
      <c r="J35" s="24">
        <v>7.7112723530593286E-2</v>
      </c>
      <c r="K35" s="24">
        <v>0.14850861624778178</v>
      </c>
      <c r="L35" s="24">
        <v>0.19221516254395166</v>
      </c>
      <c r="M35" s="24">
        <v>9.1413360299803736E-2</v>
      </c>
      <c r="N35" s="24">
        <v>0.80189636029080025</v>
      </c>
      <c r="O35" s="24">
        <v>0.12354016048303795</v>
      </c>
      <c r="P35" s="24">
        <v>9.4211558497272696E-2</v>
      </c>
      <c r="Q35" s="24">
        <v>-0.15144055433989778</v>
      </c>
      <c r="R35" s="24">
        <v>4.8391781020837854E-2</v>
      </c>
      <c r="S35" s="24">
        <v>8.0200501253132828E-2</v>
      </c>
      <c r="T35" s="24">
        <v>0.25312375646637486</v>
      </c>
      <c r="U35" s="24">
        <v>4.9429228045058782E-2</v>
      </c>
      <c r="V35" s="24">
        <v>-4.3589606071169906E-2</v>
      </c>
      <c r="W35" s="25">
        <v>6.5771164258815018E-2</v>
      </c>
      <c r="X35" s="24">
        <v>0.25320654750227778</v>
      </c>
      <c r="Y35" s="24">
        <v>0.20339840641364448</v>
      </c>
      <c r="Z35" s="24">
        <v>0.13381262063082167</v>
      </c>
      <c r="AA35" s="25">
        <v>0.15747443786602489</v>
      </c>
      <c r="AB35" s="25">
        <v>0.30333015246481176</v>
      </c>
      <c r="AC35" s="51">
        <v>7.2822177142699784E-2</v>
      </c>
      <c r="AD35" s="51">
        <v>0.29831760619756298</v>
      </c>
      <c r="AE35" s="51">
        <v>9.8249409573781143E-2</v>
      </c>
      <c r="AF35" s="51">
        <v>0.40243755657632119</v>
      </c>
      <c r="AG35" s="51">
        <v>0.44171988972921694</v>
      </c>
      <c r="AH35" s="51">
        <v>0.40096664317840114</v>
      </c>
      <c r="AI35" s="51">
        <v>7.0541857883269055E-2</v>
      </c>
      <c r="AJ35" s="51">
        <v>0.26068886688860626</v>
      </c>
      <c r="AK35" s="51">
        <v>0.18641824246382366</v>
      </c>
      <c r="AL35" s="51">
        <v>0.12255862606291035</v>
      </c>
      <c r="AM35" s="51">
        <v>0.2530959231626384</v>
      </c>
      <c r="AN35" s="51">
        <v>0.20375091669032908</v>
      </c>
    </row>
    <row r="36" spans="1:40" x14ac:dyDescent="0.25">
      <c r="A36" s="1">
        <f t="shared" si="0"/>
        <v>39783</v>
      </c>
      <c r="B36" s="24">
        <v>0.19332167076715057</v>
      </c>
      <c r="C36" s="24">
        <v>7.3214548526014722E-2</v>
      </c>
      <c r="D36" s="24">
        <v>-0.20596390003720233</v>
      </c>
      <c r="E36" s="24">
        <v>-0.20680991482773958</v>
      </c>
      <c r="F36" s="24">
        <v>0.17274038461538477</v>
      </c>
      <c r="G36" s="24">
        <v>-0.3097554999087303</v>
      </c>
      <c r="H36" s="24">
        <v>0.13294196226498389</v>
      </c>
      <c r="I36" s="24">
        <v>0.16312017624982622</v>
      </c>
      <c r="J36" s="24">
        <v>7.6746451799773574E-2</v>
      </c>
      <c r="K36" s="24">
        <v>9.4891803438843292E-2</v>
      </c>
      <c r="L36" s="24">
        <v>0.19725232427310946</v>
      </c>
      <c r="M36" s="24">
        <v>0.1021171879550351</v>
      </c>
      <c r="N36" s="24">
        <v>-0.62279712791474562</v>
      </c>
      <c r="O36" s="24">
        <v>0.13897401086113259</v>
      </c>
      <c r="P36" s="24">
        <v>8.985219899062713E-2</v>
      </c>
      <c r="Q36" s="24">
        <v>0.44581359385355568</v>
      </c>
      <c r="R36" s="24">
        <v>0.41983633125912889</v>
      </c>
      <c r="S36" s="24">
        <v>4.9894291754756903E-2</v>
      </c>
      <c r="T36" s="24">
        <v>0.12353324641460239</v>
      </c>
      <c r="U36" s="24">
        <v>8.1623362980600911E-2</v>
      </c>
      <c r="V36" s="24">
        <v>0.25687755426227854</v>
      </c>
      <c r="W36" s="25">
        <v>3.7126471476003564E-2</v>
      </c>
      <c r="X36" s="24">
        <v>0.3161507797934926</v>
      </c>
      <c r="Y36" s="24">
        <v>0.15993631183549506</v>
      </c>
      <c r="Z36" s="24">
        <v>9.6998906416755792E-2</v>
      </c>
      <c r="AA36" s="25">
        <v>0.15006360653856077</v>
      </c>
      <c r="AB36" s="25">
        <v>0.23947170190327927</v>
      </c>
      <c r="AC36" s="51">
        <v>4.2267844475498917E-2</v>
      </c>
      <c r="AD36" s="51">
        <v>7.4771284946162142E-2</v>
      </c>
      <c r="AE36" s="51">
        <v>9.7583649415209139E-2</v>
      </c>
      <c r="AF36" s="51">
        <v>0.32919413773263173</v>
      </c>
      <c r="AG36" s="51">
        <v>0.36343055388324252</v>
      </c>
      <c r="AH36" s="51">
        <v>0.3205222364753042</v>
      </c>
      <c r="AI36" s="51">
        <v>7.6981167420867358E-2</v>
      </c>
      <c r="AJ36" s="51">
        <v>-9.8750134174089288E-3</v>
      </c>
      <c r="AK36" s="51">
        <v>0.19469817021494107</v>
      </c>
      <c r="AL36" s="51">
        <v>0.13698519126302</v>
      </c>
      <c r="AM36" s="51">
        <v>-9.9071994592014878E-4</v>
      </c>
      <c r="AN36" s="51">
        <v>0.11038187432381208</v>
      </c>
    </row>
    <row r="37" spans="1:40" x14ac:dyDescent="0.25">
      <c r="A37" s="1">
        <f t="shared" si="0"/>
        <v>39873</v>
      </c>
      <c r="B37" s="24">
        <v>0.26718081635612267</v>
      </c>
      <c r="C37" s="24">
        <v>1.9684895760262666E-2</v>
      </c>
      <c r="D37" s="24">
        <v>-0.40251293025080515</v>
      </c>
      <c r="E37" s="24">
        <v>-0.40418461946684392</v>
      </c>
      <c r="F37" s="24">
        <v>0.54109067160117541</v>
      </c>
      <c r="G37" s="24">
        <v>-0.36154542522170008</v>
      </c>
      <c r="H37" s="24">
        <v>8.8901762397601614E-2</v>
      </c>
      <c r="I37" s="24">
        <v>5.8009836885542176E-2</v>
      </c>
      <c r="J37" s="24">
        <v>0.14879706478959753</v>
      </c>
      <c r="K37" s="24">
        <v>2.5402506551080783E-2</v>
      </c>
      <c r="L37" s="24">
        <v>8.7632818490524622E-2</v>
      </c>
      <c r="M37" s="24">
        <v>0.11957671957671945</v>
      </c>
      <c r="N37" s="24">
        <v>-0.71847578899048581</v>
      </c>
      <c r="O37" s="24">
        <v>0.15562255617845211</v>
      </c>
      <c r="P37" s="24">
        <v>6.607059577940988E-2</v>
      </c>
      <c r="Q37" s="24">
        <v>0.12419315960039645</v>
      </c>
      <c r="R37" s="24">
        <v>-5.3033857221049363E-2</v>
      </c>
      <c r="S37" s="24">
        <v>-4.3094672548354196E-2</v>
      </c>
      <c r="T37" s="24">
        <v>1.1242270938729648E-2</v>
      </c>
      <c r="U37" s="24">
        <v>0.13660788344332642</v>
      </c>
      <c r="V37" s="24">
        <v>-6.1424692876535625E-2</v>
      </c>
      <c r="W37" s="25">
        <v>0.12197847438687304</v>
      </c>
      <c r="X37" s="24">
        <v>0.76905659504309343</v>
      </c>
      <c r="Y37" s="24">
        <v>0.14487442114379467</v>
      </c>
      <c r="Z37" s="24">
        <v>9.9739426307175583E-2</v>
      </c>
      <c r="AA37" s="25">
        <v>0.18013125644035322</v>
      </c>
      <c r="AB37" s="25">
        <v>0.39191678085723969</v>
      </c>
      <c r="AC37" s="51">
        <v>3.6317025508133982E-2</v>
      </c>
      <c r="AD37" s="51">
        <v>1.7905564072344449E-2</v>
      </c>
      <c r="AE37" s="51">
        <v>0.11055502891300328</v>
      </c>
      <c r="AF37" s="51">
        <v>0.28379750278372162</v>
      </c>
      <c r="AG37" s="51">
        <v>0.32371677839015423</v>
      </c>
      <c r="AH37" s="51">
        <v>0.25813973859802264</v>
      </c>
      <c r="AI37" s="51">
        <v>9.3388309765091826E-2</v>
      </c>
      <c r="AJ37" s="51">
        <v>-6.796469835173391E-2</v>
      </c>
      <c r="AK37" s="51">
        <v>0.11614049241700442</v>
      </c>
      <c r="AL37" s="51">
        <v>9.777919769844412E-2</v>
      </c>
      <c r="AM37" s="51">
        <v>-5.784157880246632E-2</v>
      </c>
      <c r="AN37" s="51">
        <v>0.14429232007466108</v>
      </c>
    </row>
    <row r="38" spans="1:40" x14ac:dyDescent="0.25">
      <c r="A38" s="1">
        <f t="shared" si="0"/>
        <v>39965</v>
      </c>
      <c r="B38" s="24">
        <v>0.34141981673462896</v>
      </c>
      <c r="C38" s="24">
        <v>-2.3525461352034815E-2</v>
      </c>
      <c r="D38" s="24">
        <v>-0.48982774461258649</v>
      </c>
      <c r="E38" s="24">
        <v>-0.49085062519809752</v>
      </c>
      <c r="F38" s="24">
        <v>-0.1804975287403402</v>
      </c>
      <c r="G38" s="24">
        <v>-0.33745666187410683</v>
      </c>
      <c r="H38" s="24">
        <v>8.2351166825277211E-2</v>
      </c>
      <c r="I38" s="24">
        <v>7.7544781144780695E-2</v>
      </c>
      <c r="J38" s="24">
        <v>9.147131506786299E-2</v>
      </c>
      <c r="K38" s="24">
        <v>7.3504485977085032E-3</v>
      </c>
      <c r="L38" s="24">
        <v>4.7041373099539152E-2</v>
      </c>
      <c r="M38" s="24">
        <v>0.12420302013422813</v>
      </c>
      <c r="N38" s="24">
        <v>-0.59102643739272098</v>
      </c>
      <c r="O38" s="24">
        <v>0.15620949633983838</v>
      </c>
      <c r="P38" s="24">
        <v>5.807088021272655E-2</v>
      </c>
      <c r="Q38" s="24">
        <v>0.23556896459657173</v>
      </c>
      <c r="R38" s="24">
        <v>3.4962059428409464E-2</v>
      </c>
      <c r="S38" s="24">
        <v>4.0451895043731811E-2</v>
      </c>
      <c r="T38" s="24">
        <v>1.7946161515453696E-2</v>
      </c>
      <c r="U38" s="24">
        <v>0.25387212801879189</v>
      </c>
      <c r="V38" s="24">
        <v>4.1157989871892342E-2</v>
      </c>
      <c r="W38" s="25">
        <v>0.14760887350322172</v>
      </c>
      <c r="X38" s="24">
        <v>0.23364560470982831</v>
      </c>
      <c r="Y38" s="24">
        <v>9.4925350991563739E-2</v>
      </c>
      <c r="Z38" s="24">
        <v>8.359686989903925E-2</v>
      </c>
      <c r="AA38" s="25">
        <v>0.148401928531676</v>
      </c>
      <c r="AB38" s="25">
        <v>0.28456945244956766</v>
      </c>
      <c r="AC38" s="51">
        <v>3.5885711464196834E-2</v>
      </c>
      <c r="AD38" s="51">
        <v>-2.3170312295513584E-2</v>
      </c>
      <c r="AE38" s="51">
        <v>0.11226719390713935</v>
      </c>
      <c r="AF38" s="51">
        <v>0.12163341296340802</v>
      </c>
      <c r="AG38" s="51">
        <v>0.13306983255670457</v>
      </c>
      <c r="AH38" s="51">
        <v>0.10714895771692112</v>
      </c>
      <c r="AI38" s="51">
        <v>9.5675427613128416E-2</v>
      </c>
      <c r="AJ38" s="51">
        <v>-0.14109408755848674</v>
      </c>
      <c r="AK38" s="51">
        <v>7.0860017612159654E-2</v>
      </c>
      <c r="AL38" s="51">
        <v>9.5234926948031928E-2</v>
      </c>
      <c r="AM38" s="51">
        <v>-0.12869152475780976</v>
      </c>
      <c r="AN38" s="51">
        <v>7.1300237863008098E-2</v>
      </c>
    </row>
    <row r="39" spans="1:40" x14ac:dyDescent="0.25">
      <c r="A39" s="1">
        <f t="shared" si="0"/>
        <v>40057</v>
      </c>
      <c r="B39" s="24">
        <v>0.42991284558863918</v>
      </c>
      <c r="C39" s="24">
        <v>-8.110716236372828E-3</v>
      </c>
      <c r="D39" s="24">
        <v>-0.40152352146851478</v>
      </c>
      <c r="E39" s="24">
        <v>-0.40242358074107976</v>
      </c>
      <c r="F39" s="24">
        <v>-0.11002696887973085</v>
      </c>
      <c r="G39" s="24">
        <v>-0.23675640272670473</v>
      </c>
      <c r="H39" s="24">
        <v>0.10035227963816706</v>
      </c>
      <c r="I39" s="24">
        <v>7.469551415260467E-2</v>
      </c>
      <c r="J39" s="24">
        <v>0.15002784490642584</v>
      </c>
      <c r="K39" s="24">
        <v>1.2572764180361018E-2</v>
      </c>
      <c r="L39" s="24">
        <v>2.4525275521291467E-2</v>
      </c>
      <c r="M39" s="24">
        <v>0.11733046286329385</v>
      </c>
      <c r="N39" s="24">
        <v>-0.44766753525002301</v>
      </c>
      <c r="O39" s="24">
        <v>0.12246323009475324</v>
      </c>
      <c r="P39" s="24">
        <v>8.1738241595138428E-2</v>
      </c>
      <c r="Q39" s="24">
        <v>0.23533361985602208</v>
      </c>
      <c r="R39" s="24">
        <v>5.6459711208836749E-2</v>
      </c>
      <c r="S39" s="24">
        <v>-0.27079880676168377</v>
      </c>
      <c r="T39" s="24">
        <v>-8.5770537613921394E-2</v>
      </c>
      <c r="U39" s="24">
        <v>0.23152037336205344</v>
      </c>
      <c r="V39" s="24">
        <v>6.6941442009785357E-2</v>
      </c>
      <c r="W39" s="25">
        <v>0.12407902608971577</v>
      </c>
      <c r="X39" s="24">
        <v>-5.134995532259079E-2</v>
      </c>
      <c r="Y39" s="24">
        <v>5.7374971248158824E-2</v>
      </c>
      <c r="Z39" s="24">
        <v>6.1436388505627049E-2</v>
      </c>
      <c r="AA39" s="25">
        <v>8.7346426942499056E-2</v>
      </c>
      <c r="AB39" s="25">
        <v>0.1166814348887808</v>
      </c>
      <c r="AC39" s="51">
        <v>3.3787449514738777E-2</v>
      </c>
      <c r="AD39" s="51">
        <v>-3.6374405857192427E-3</v>
      </c>
      <c r="AE39" s="51">
        <v>0.10251918810856142</v>
      </c>
      <c r="AF39" s="51">
        <v>4.7983073920243813E-2</v>
      </c>
      <c r="AG39" s="51">
        <v>5.1007343813810335E-2</v>
      </c>
      <c r="AH39" s="51">
        <v>3.7243112669613554E-2</v>
      </c>
      <c r="AI39" s="51">
        <v>9.2518342289583666E-2</v>
      </c>
      <c r="AJ39" s="51">
        <v>-0.13135063468529262</v>
      </c>
      <c r="AK39" s="51">
        <v>2.0645844362096488E-2</v>
      </c>
      <c r="AL39" s="51">
        <v>7.5179252742830327E-2</v>
      </c>
      <c r="AM39" s="51">
        <v>-0.12045654685278073</v>
      </c>
      <c r="AN39" s="51">
        <v>3.0092038930088494E-2</v>
      </c>
    </row>
    <row r="40" spans="1:40" x14ac:dyDescent="0.25">
      <c r="A40" s="1">
        <f t="shared" si="0"/>
        <v>40148</v>
      </c>
      <c r="B40" s="24">
        <v>0.38591176322856535</v>
      </c>
      <c r="C40" s="24">
        <v>9.1549096329420543E-2</v>
      </c>
      <c r="D40" s="24">
        <v>5.2141935097327341E-4</v>
      </c>
      <c r="E40" s="24">
        <v>-8.739332057792204E-4</v>
      </c>
      <c r="F40" s="24">
        <v>0.42311318820973232</v>
      </c>
      <c r="G40" s="24">
        <v>0.51891470206148993</v>
      </c>
      <c r="H40" s="24">
        <v>9.8591171863390503E-2</v>
      </c>
      <c r="I40" s="24">
        <v>7.6541609880698136E-2</v>
      </c>
      <c r="J40" s="24">
        <v>0.14294378307525268</v>
      </c>
      <c r="K40" s="24">
        <v>5.4456632667287508E-2</v>
      </c>
      <c r="L40" s="24">
        <v>-1.8399446038183775E-2</v>
      </c>
      <c r="M40" s="24">
        <v>9.7834559843570368E-2</v>
      </c>
      <c r="N40" s="24">
        <v>1.4116268320530376</v>
      </c>
      <c r="O40" s="24">
        <v>8.1421188410486067E-2</v>
      </c>
      <c r="P40" s="24">
        <v>0.12971691612227465</v>
      </c>
      <c r="Q40" s="24">
        <v>0.19267924143902482</v>
      </c>
      <c r="R40" s="24">
        <v>-5.481807164397845E-2</v>
      </c>
      <c r="S40" s="24">
        <v>4.9536850583971059E-2</v>
      </c>
      <c r="T40" s="24">
        <v>5.6135770234986948E-2</v>
      </c>
      <c r="U40" s="24">
        <v>0.26281200427336593</v>
      </c>
      <c r="V40" s="24">
        <v>1.6200379157811362E-3</v>
      </c>
      <c r="W40" s="25">
        <v>0.12240520071679883</v>
      </c>
      <c r="X40" s="24">
        <v>-0.16833749560514832</v>
      </c>
      <c r="Y40" s="24">
        <v>7.9299054609904163E-2</v>
      </c>
      <c r="Z40" s="24">
        <v>9.3396888683172197E-2</v>
      </c>
      <c r="AA40" s="25">
        <v>0.1356843018921563</v>
      </c>
      <c r="AB40" s="25">
        <v>0.10562119149487881</v>
      </c>
      <c r="AC40" s="51">
        <v>2.7481170403768962E-2</v>
      </c>
      <c r="AD40" s="51">
        <v>0.10320689873284272</v>
      </c>
      <c r="AE40" s="51">
        <v>0.1208416946164339</v>
      </c>
      <c r="AF40" s="51">
        <v>4.8008728094550257E-2</v>
      </c>
      <c r="AG40" s="51">
        <v>5.061847126093233E-2</v>
      </c>
      <c r="AH40" s="51">
        <v>3.9245386528374837E-2</v>
      </c>
      <c r="AI40" s="51">
        <v>8.1637866837708239E-2</v>
      </c>
      <c r="AJ40" s="51">
        <v>8.168581181135659E-2</v>
      </c>
      <c r="AK40" s="51">
        <v>-0.11389283615096535</v>
      </c>
      <c r="AL40" s="51">
        <v>5.57105681126977E-2</v>
      </c>
      <c r="AM40" s="51">
        <v>7.7195442979431483E-2</v>
      </c>
      <c r="AN40" s="51">
        <v>0.10698729040173638</v>
      </c>
    </row>
    <row r="41" spans="1:40" x14ac:dyDescent="0.25">
      <c r="A41" s="1">
        <f t="shared" si="0"/>
        <v>40238</v>
      </c>
      <c r="B41" s="24">
        <v>0.25591843565350603</v>
      </c>
      <c r="C41" s="24">
        <v>7.2648872953216204E-2</v>
      </c>
      <c r="D41" s="24">
        <v>0.29269570784055632</v>
      </c>
      <c r="E41" s="24">
        <v>0.29247497145779278</v>
      </c>
      <c r="F41" s="24">
        <v>0.34086735414606584</v>
      </c>
      <c r="G41" s="24">
        <v>0.79628636440088996</v>
      </c>
      <c r="H41" s="24">
        <v>0.14818783697898463</v>
      </c>
      <c r="I41" s="24">
        <v>0.15397535364783854</v>
      </c>
      <c r="J41" s="24">
        <v>0.13785340940267732</v>
      </c>
      <c r="K41" s="24">
        <v>0.13858149035873546</v>
      </c>
      <c r="L41" s="24">
        <v>1.0222580320274011E-2</v>
      </c>
      <c r="M41" s="24">
        <v>6.9010882337914525E-2</v>
      </c>
      <c r="N41" s="24">
        <v>2.7826264189886483</v>
      </c>
      <c r="O41" s="24">
        <v>3.4381828262074698E-2</v>
      </c>
      <c r="P41" s="24">
        <v>0.19555841119898298</v>
      </c>
      <c r="Q41" s="24">
        <v>0.11028255586791835</v>
      </c>
      <c r="R41" s="24">
        <v>0.28809115868133661</v>
      </c>
      <c r="S41" s="24">
        <v>0.20390070921985815</v>
      </c>
      <c r="T41" s="24">
        <v>0.23771376254782073</v>
      </c>
      <c r="U41" s="24">
        <v>0.26468255227337645</v>
      </c>
      <c r="V41" s="24">
        <v>0.31306335101962546</v>
      </c>
      <c r="W41" s="25">
        <v>7.6914300867382712E-2</v>
      </c>
      <c r="X41" s="24">
        <v>6.738118681884453E-2</v>
      </c>
      <c r="Y41" s="24">
        <v>0.12288839098485438</v>
      </c>
      <c r="Z41" s="24">
        <v>8.9369996550654918E-2</v>
      </c>
      <c r="AA41" s="25">
        <v>8.48790485808395E-2</v>
      </c>
      <c r="AB41" s="25">
        <v>4.0765126815429431E-2</v>
      </c>
      <c r="AC41" s="51">
        <v>7.5370890111027267E-2</v>
      </c>
      <c r="AD41" s="51">
        <v>0.10091222984318104</v>
      </c>
      <c r="AE41" s="51">
        <v>0.12482592457320596</v>
      </c>
      <c r="AF41" s="51">
        <v>0.21126503119366769</v>
      </c>
      <c r="AG41" s="51">
        <v>0.23464628544339305</v>
      </c>
      <c r="AH41" s="51">
        <v>0.19308030087318517</v>
      </c>
      <c r="AI41" s="51">
        <v>9.199791795024348E-2</v>
      </c>
      <c r="AJ41" s="51">
        <v>0.21438433873539986</v>
      </c>
      <c r="AK41" s="51">
        <v>-2.9912795735741016E-2</v>
      </c>
      <c r="AL41" s="51">
        <v>0.11361781721820208</v>
      </c>
      <c r="AM41" s="51">
        <v>0.20481524365810255</v>
      </c>
      <c r="AN41" s="51">
        <v>0.17790498723350878</v>
      </c>
    </row>
    <row r="42" spans="1:40" x14ac:dyDescent="0.25">
      <c r="A42" s="1">
        <f t="shared" si="0"/>
        <v>40330</v>
      </c>
      <c r="B42" s="24">
        <v>0.11196885346040042</v>
      </c>
      <c r="C42" s="24">
        <v>1.6378682381661624E-2</v>
      </c>
      <c r="D42" s="24">
        <v>0.42193417974845371</v>
      </c>
      <c r="E42" s="24">
        <v>0.42213488801542853</v>
      </c>
      <c r="F42" s="24">
        <v>0.38422578387924422</v>
      </c>
      <c r="G42" s="24">
        <v>0.53611501140679851</v>
      </c>
      <c r="H42" s="24">
        <v>0.17338386682236351</v>
      </c>
      <c r="I42" s="24">
        <v>0.16671145402255094</v>
      </c>
      <c r="J42" s="24">
        <v>0.18588326746211625</v>
      </c>
      <c r="K42" s="24">
        <v>0.17008138106642279</v>
      </c>
      <c r="L42" s="24">
        <v>3.2431065013913463E-2</v>
      </c>
      <c r="M42" s="24">
        <v>5.2448291730408103E-2</v>
      </c>
      <c r="N42" s="24">
        <v>1.1159504487488436</v>
      </c>
      <c r="O42" s="24">
        <v>1.8741316155109322E-2</v>
      </c>
      <c r="P42" s="24">
        <v>0.25874532164137753</v>
      </c>
      <c r="Q42" s="24">
        <v>0.15727035028199765</v>
      </c>
      <c r="R42" s="24">
        <v>0.23155063724818414</v>
      </c>
      <c r="S42" s="24">
        <v>0.23852889667250454</v>
      </c>
      <c r="T42" s="24">
        <v>0.28290279138099916</v>
      </c>
      <c r="U42" s="24">
        <v>0.24576295992740671</v>
      </c>
      <c r="V42" s="24">
        <v>0.25365134479717799</v>
      </c>
      <c r="W42" s="25">
        <v>6.7229316718954824E-2</v>
      </c>
      <c r="X42" s="24">
        <v>0.23044416678621049</v>
      </c>
      <c r="Y42" s="24">
        <v>0.12170201201886588</v>
      </c>
      <c r="Z42" s="24">
        <v>7.2627224442621152E-2</v>
      </c>
      <c r="AA42" s="25">
        <v>7.7378947288657463E-2</v>
      </c>
      <c r="AB42" s="25">
        <v>0.11983876004608907</v>
      </c>
      <c r="AC42" s="51">
        <v>3.2216589407981555E-2</v>
      </c>
      <c r="AD42" s="51">
        <v>5.1801815836537424E-2</v>
      </c>
      <c r="AE42" s="51">
        <v>0.14297348442246594</v>
      </c>
      <c r="AF42" s="51">
        <v>0.2334773323392898</v>
      </c>
      <c r="AG42" s="51">
        <v>0.25377623197936128</v>
      </c>
      <c r="AH42" s="51">
        <v>0.22058501427821642</v>
      </c>
      <c r="AI42" s="51">
        <v>8.5092300532602527E-2</v>
      </c>
      <c r="AJ42" s="51">
        <v>0.23484524296120957</v>
      </c>
      <c r="AK42" s="51">
        <v>-6.6643323762742734E-2</v>
      </c>
      <c r="AL42" s="51">
        <v>3.5870978773956397E-2</v>
      </c>
      <c r="AM42" s="51">
        <v>0.21953025829833095</v>
      </c>
      <c r="AN42" s="51">
        <v>0.16615185015247702</v>
      </c>
    </row>
    <row r="43" spans="1:40" x14ac:dyDescent="0.25">
      <c r="A43" s="1">
        <f t="shared" si="0"/>
        <v>40422</v>
      </c>
      <c r="B43" s="24">
        <v>0.15016731656982585</v>
      </c>
      <c r="C43" s="24">
        <v>-6.9473338510602778E-3</v>
      </c>
      <c r="D43" s="24">
        <v>0.27873070807133549</v>
      </c>
      <c r="E43" s="24">
        <v>0.27824112378875365</v>
      </c>
      <c r="F43" s="24">
        <v>0.3851889683350358</v>
      </c>
      <c r="G43" s="24">
        <v>0.34743647226153596</v>
      </c>
      <c r="H43" s="24">
        <v>0.17666695922316</v>
      </c>
      <c r="I43" s="24">
        <v>0.1989785520484213</v>
      </c>
      <c r="J43" s="24">
        <v>0.13629790551842236</v>
      </c>
      <c r="K43" s="24">
        <v>0.17199525213462485</v>
      </c>
      <c r="L43" s="24">
        <v>5.3280137366799707E-2</v>
      </c>
      <c r="M43" s="24">
        <v>4.7791517280066254E-2</v>
      </c>
      <c r="N43" s="24">
        <v>0.56028521166667478</v>
      </c>
      <c r="O43" s="24">
        <v>4.8617618571394683E-2</v>
      </c>
      <c r="P43" s="24">
        <v>0.22632338569274291</v>
      </c>
      <c r="Q43" s="24">
        <v>0.30822588010176344</v>
      </c>
      <c r="R43" s="24">
        <v>0.39346760844982698</v>
      </c>
      <c r="S43" s="24">
        <v>0.33863636363636362</v>
      </c>
      <c r="T43" s="24">
        <v>0.38134769017019798</v>
      </c>
      <c r="U43" s="24">
        <v>0.23131413246268639</v>
      </c>
      <c r="V43" s="24">
        <v>0.35040601266654381</v>
      </c>
      <c r="W43" s="25">
        <v>7.565184917267298E-2</v>
      </c>
      <c r="X43" s="24">
        <v>0.45402953377808775</v>
      </c>
      <c r="Y43" s="24">
        <v>0.20364285892121536</v>
      </c>
      <c r="Z43" s="24">
        <v>0.10248185200808391</v>
      </c>
      <c r="AA43" s="25">
        <v>0.14191638495903014</v>
      </c>
      <c r="AB43" s="25">
        <v>0.21848608011801995</v>
      </c>
      <c r="AC43" s="51">
        <v>4.7475329363511509E-2</v>
      </c>
      <c r="AD43" s="51">
        <v>2.3803746032302842E-2</v>
      </c>
      <c r="AE43" s="51">
        <v>0.15999986308512582</v>
      </c>
      <c r="AF43" s="51">
        <v>0.44057750663834017</v>
      </c>
      <c r="AG43" s="51">
        <v>0.49011395526830492</v>
      </c>
      <c r="AH43" s="51">
        <v>0.41195519231045941</v>
      </c>
      <c r="AI43" s="51">
        <v>8.6642910803841344E-2</v>
      </c>
      <c r="AJ43" s="51">
        <v>0.25935457936675088</v>
      </c>
      <c r="AK43" s="51">
        <v>8.9928667074440805E-2</v>
      </c>
      <c r="AL43" s="51">
        <v>0.11084597889713277</v>
      </c>
      <c r="AM43" s="51">
        <v>0.24880671321386516</v>
      </c>
      <c r="AN43" s="51">
        <v>0.23949440185515392</v>
      </c>
    </row>
    <row r="44" spans="1:40" x14ac:dyDescent="0.25">
      <c r="A44" s="1">
        <f t="shared" si="0"/>
        <v>40513</v>
      </c>
      <c r="B44" s="24">
        <v>5.0896135590420277E-2</v>
      </c>
      <c r="C44" s="24">
        <v>5.6025388744669113E-2</v>
      </c>
      <c r="D44" s="24">
        <v>0.20256268674793376</v>
      </c>
      <c r="E44" s="24">
        <v>0.20219526747250849</v>
      </c>
      <c r="F44" s="24">
        <v>0.28066486143918867</v>
      </c>
      <c r="G44" s="24">
        <v>0.24559948298059631</v>
      </c>
      <c r="H44" s="24">
        <v>0.14403940100187773</v>
      </c>
      <c r="I44" s="24">
        <v>0.1564013637631545</v>
      </c>
      <c r="J44" s="24">
        <v>0.12061801407028283</v>
      </c>
      <c r="K44" s="24">
        <v>0.15894691192181165</v>
      </c>
      <c r="L44" s="24">
        <v>8.6163458631462353E-2</v>
      </c>
      <c r="M44" s="24">
        <v>5.4757262858930789E-2</v>
      </c>
      <c r="N44" s="24">
        <v>0.34385948601689931</v>
      </c>
      <c r="O44" s="24">
        <v>0.10161871919630916</v>
      </c>
      <c r="P44" s="24">
        <v>0.18123093814810298</v>
      </c>
      <c r="Q44" s="24">
        <v>-8.4270462633451171E-3</v>
      </c>
      <c r="R44" s="24">
        <v>0.36657621660305351</v>
      </c>
      <c r="S44" s="24">
        <v>0.23714504988488083</v>
      </c>
      <c r="T44" s="24">
        <v>0.19659387446779286</v>
      </c>
      <c r="U44" s="24">
        <v>0.14371779424205933</v>
      </c>
      <c r="V44" s="24">
        <v>0.25446223731302187</v>
      </c>
      <c r="W44" s="25">
        <v>7.6207041219452654E-2</v>
      </c>
      <c r="X44" s="24">
        <v>0.30486227392500775</v>
      </c>
      <c r="Y44" s="24">
        <v>0.12927751926569009</v>
      </c>
      <c r="Z44" s="24">
        <v>0.11430802829321052</v>
      </c>
      <c r="AA44" s="25">
        <v>0.15014048884993536</v>
      </c>
      <c r="AB44" s="25">
        <v>0.20607215493706144</v>
      </c>
      <c r="AC44" s="51">
        <v>7.4408419068730192E-2</v>
      </c>
      <c r="AD44" s="51">
        <v>7.1735723568534526E-2</v>
      </c>
      <c r="AE44" s="51">
        <v>0.12076688745731179</v>
      </c>
      <c r="AF44" s="51">
        <v>0.16394143874045963</v>
      </c>
      <c r="AG44" s="51">
        <v>0.17723478632758893</v>
      </c>
      <c r="AH44" s="51">
        <v>0.1591619486480278</v>
      </c>
      <c r="AI44" s="51">
        <v>5.2238805970149294E-2</v>
      </c>
      <c r="AJ44" s="51">
        <v>0.17086120572580965</v>
      </c>
      <c r="AK44" s="51">
        <v>0.33629074274096182</v>
      </c>
      <c r="AL44" s="51">
        <v>0.1662716895380032</v>
      </c>
      <c r="AM44" s="51">
        <v>0.17293324250504494</v>
      </c>
      <c r="AN44" s="51">
        <v>0.16252789851484062</v>
      </c>
    </row>
    <row r="45" spans="1:40" x14ac:dyDescent="0.25">
      <c r="A45" s="1">
        <f t="shared" si="0"/>
        <v>40603</v>
      </c>
      <c r="B45" s="24">
        <v>0.11881265548202125</v>
      </c>
      <c r="C45" s="24">
        <v>0.12027634223646855</v>
      </c>
      <c r="D45" s="24">
        <v>0.30350879641548767</v>
      </c>
      <c r="E45" s="24">
        <v>0.30444129034261369</v>
      </c>
      <c r="F45" s="24">
        <v>0.10732722292456809</v>
      </c>
      <c r="G45" s="24">
        <v>0.26709409108415505</v>
      </c>
      <c r="H45" s="24">
        <v>0.12769651256906234</v>
      </c>
      <c r="I45" s="24">
        <v>0.1418344157506799</v>
      </c>
      <c r="J45" s="24">
        <v>0.10209359885088021</v>
      </c>
      <c r="K45" s="24">
        <v>9.6427753834516183E-2</v>
      </c>
      <c r="L45" s="24">
        <v>0.11749165046607857</v>
      </c>
      <c r="M45" s="24">
        <v>7.1222892645916858E-2</v>
      </c>
      <c r="N45" s="24">
        <v>0.39677835631649239</v>
      </c>
      <c r="O45" s="24">
        <v>0.17005730320251589</v>
      </c>
      <c r="P45" s="24">
        <v>0.11486544431675894</v>
      </c>
      <c r="Q45" s="24">
        <v>0.26066991395403738</v>
      </c>
      <c r="R45" s="24">
        <v>0.36292248273209515</v>
      </c>
      <c r="S45" s="24">
        <v>0.11988217967599413</v>
      </c>
      <c r="T45" s="24">
        <v>8.0759781259081231E-2</v>
      </c>
      <c r="U45" s="24">
        <v>8.9390100102862524E-2</v>
      </c>
      <c r="V45" s="24">
        <v>0.16377600077895837</v>
      </c>
      <c r="W45" s="25">
        <v>8.8291295994594066E-2</v>
      </c>
      <c r="X45" s="24">
        <v>-0.15461766198558202</v>
      </c>
      <c r="Y45" s="24">
        <v>0.1752620528621085</v>
      </c>
      <c r="Z45" s="24">
        <v>0.1188059047110579</v>
      </c>
      <c r="AA45" s="25">
        <v>0.14874283436206914</v>
      </c>
      <c r="AB45" s="25">
        <v>5.5092776235180052E-2</v>
      </c>
      <c r="AC45" s="51">
        <v>0.11888787477926988</v>
      </c>
      <c r="AD45" s="51">
        <v>0.10744288522879009</v>
      </c>
      <c r="AE45" s="51">
        <v>8.6621344406754286E-2</v>
      </c>
      <c r="AF45" s="51">
        <v>0.30913775270978783</v>
      </c>
      <c r="AG45" s="51">
        <v>0.34219375359444149</v>
      </c>
      <c r="AH45" s="51">
        <v>0.29005808177866155</v>
      </c>
      <c r="AI45" s="51">
        <v>6.3926030049076488E-2</v>
      </c>
      <c r="AJ45" s="51">
        <v>0.17959819462596749</v>
      </c>
      <c r="AK45" s="51">
        <v>0.17644213695753064</v>
      </c>
      <c r="AL45" s="51">
        <v>7.6679118320477802E-2</v>
      </c>
      <c r="AM45" s="51">
        <v>0.1746398760404082</v>
      </c>
      <c r="AN45" s="51">
        <v>0.13133271346329511</v>
      </c>
    </row>
    <row r="46" spans="1:40" x14ac:dyDescent="0.25">
      <c r="A46" s="1">
        <f t="shared" si="0"/>
        <v>40695</v>
      </c>
      <c r="B46" s="24">
        <v>0.15719332789601648</v>
      </c>
      <c r="C46" s="24">
        <v>0.18739023533544108</v>
      </c>
      <c r="D46" s="24">
        <v>0.23612928887989515</v>
      </c>
      <c r="E46" s="24">
        <v>0.23753394798564376</v>
      </c>
      <c r="F46" s="24">
        <v>-3.5000722160704711E-2</v>
      </c>
      <c r="G46" s="24">
        <v>0.37485832996936685</v>
      </c>
      <c r="H46" s="24">
        <v>0.1087854049981074</v>
      </c>
      <c r="I46" s="24">
        <v>0.12425077052125455</v>
      </c>
      <c r="J46" s="24">
        <v>8.028257444430853E-2</v>
      </c>
      <c r="K46" s="24">
        <v>6.4945211914371415E-2</v>
      </c>
      <c r="L46" s="24">
        <v>0.12736450063706761</v>
      </c>
      <c r="M46" s="24">
        <v>8.3798156464192974E-2</v>
      </c>
      <c r="N46" s="24">
        <v>0.61071882806757483</v>
      </c>
      <c r="O46" s="24">
        <v>0.20659299784572949</v>
      </c>
      <c r="P46" s="24">
        <v>6.063159476605029E-2</v>
      </c>
      <c r="Q46" s="24">
        <v>0.19970124171412573</v>
      </c>
      <c r="R46" s="24">
        <v>0.35543098771785853</v>
      </c>
      <c r="S46" s="24">
        <v>5.684389140271473E-2</v>
      </c>
      <c r="T46" s="24">
        <v>9.1613980675175899E-3</v>
      </c>
      <c r="U46" s="24">
        <v>3.6561009422213964E-2</v>
      </c>
      <c r="V46" s="24">
        <v>0.18022751002912551</v>
      </c>
      <c r="W46" s="25">
        <v>6.569929365392646E-2</v>
      </c>
      <c r="X46" s="24">
        <v>-6.201787713010698E-2</v>
      </c>
      <c r="Y46" s="24">
        <v>0.19959788236446752</v>
      </c>
      <c r="Z46" s="24">
        <v>0.13289237704816048</v>
      </c>
      <c r="AA46" s="25">
        <v>0.15796754324998452</v>
      </c>
      <c r="AB46" s="25">
        <v>9.4301823531863782E-3</v>
      </c>
      <c r="AC46" s="51">
        <v>0.15197375856273632</v>
      </c>
      <c r="AD46" s="51">
        <v>0.15592254675434947</v>
      </c>
      <c r="AE46" s="51">
        <v>6.9285966594338166E-2</v>
      </c>
      <c r="AF46" s="51">
        <v>0.33171735026565341</v>
      </c>
      <c r="AG46" s="51">
        <v>0.36144450366954706</v>
      </c>
      <c r="AH46" s="51">
        <v>0.31261917216713764</v>
      </c>
      <c r="AI46" s="51">
        <v>7.8133488367660098E-2</v>
      </c>
      <c r="AJ46" s="51">
        <v>0.19327096380648912</v>
      </c>
      <c r="AK46" s="51">
        <v>0.17073787693976472</v>
      </c>
      <c r="AL46" s="51">
        <v>0.18312022015782037</v>
      </c>
      <c r="AM46" s="51">
        <v>0.19253035454221212</v>
      </c>
      <c r="AN46" s="51">
        <v>0.17851038862329238</v>
      </c>
    </row>
    <row r="47" spans="1:40" x14ac:dyDescent="0.25">
      <c r="A47" s="1">
        <f t="shared" si="0"/>
        <v>40787</v>
      </c>
      <c r="B47" s="24">
        <v>0.12131870720909199</v>
      </c>
      <c r="C47" s="24">
        <v>0.15588742844923198</v>
      </c>
      <c r="D47" s="24">
        <v>0.25479626676476475</v>
      </c>
      <c r="E47" s="24">
        <v>0.25555562088817907</v>
      </c>
      <c r="F47" s="24">
        <v>0.10242607477324683</v>
      </c>
      <c r="G47" s="24">
        <v>0.29397748998484041</v>
      </c>
      <c r="H47" s="24">
        <v>7.7648295261351752E-2</v>
      </c>
      <c r="I47" s="24">
        <v>7.2344573644997912E-2</v>
      </c>
      <c r="J47" s="24">
        <v>8.7773828932912634E-2</v>
      </c>
      <c r="K47" s="24">
        <v>3.0499899656030172E-2</v>
      </c>
      <c r="L47" s="24">
        <v>0.11771192942079023</v>
      </c>
      <c r="M47" s="24">
        <v>9.2061312135566453E-2</v>
      </c>
      <c r="N47" s="24">
        <v>0.49731871818938655</v>
      </c>
      <c r="O47" s="24">
        <v>0.21493635715090309</v>
      </c>
      <c r="P47" s="24">
        <v>5.5220131097013958E-2</v>
      </c>
      <c r="Q47" s="24">
        <v>4.2434013695897832E-2</v>
      </c>
      <c r="R47" s="24">
        <v>0.15902996659923807</v>
      </c>
      <c r="S47" s="24">
        <v>1.5959252971137428E-2</v>
      </c>
      <c r="T47" s="24">
        <v>-2.0518494304609058E-2</v>
      </c>
      <c r="U47" s="24">
        <v>-9.7066691919789339E-3</v>
      </c>
      <c r="V47" s="24">
        <v>-2.1989997470177602E-3</v>
      </c>
      <c r="W47" s="25">
        <v>7.9166643885422827E-2</v>
      </c>
      <c r="X47" s="24">
        <v>-3.1690562698109326E-2</v>
      </c>
      <c r="Y47" s="24">
        <v>0.18602659413573774</v>
      </c>
      <c r="Z47" s="24">
        <v>0.10999574962258518</v>
      </c>
      <c r="AA47" s="25">
        <v>0.12761968321411632</v>
      </c>
      <c r="AB47" s="25">
        <v>2.8757754290274162E-2</v>
      </c>
      <c r="AC47" s="51">
        <v>0.12182021192188563</v>
      </c>
      <c r="AD47" s="51">
        <v>0.12504331171872329</v>
      </c>
      <c r="AE47" s="51">
        <v>6.8774651073581827E-2</v>
      </c>
      <c r="AF47" s="51">
        <v>0.32230908558162263</v>
      </c>
      <c r="AG47" s="51">
        <v>0.34731373454358794</v>
      </c>
      <c r="AH47" s="51">
        <v>0.30580020820032083</v>
      </c>
      <c r="AI47" s="51">
        <v>8.8880895769200219E-2</v>
      </c>
      <c r="AJ47" s="51">
        <v>0.18635526857235774</v>
      </c>
      <c r="AK47" s="51">
        <v>0.14053734308849997</v>
      </c>
      <c r="AL47" s="51">
        <v>6.9985139789956463E-2</v>
      </c>
      <c r="AM47" s="51">
        <v>0.18040138139260065</v>
      </c>
      <c r="AN47" s="51">
        <v>0.15651691622464803</v>
      </c>
    </row>
    <row r="48" spans="1:40" x14ac:dyDescent="0.25">
      <c r="A48" s="1">
        <f t="shared" si="0"/>
        <v>40878</v>
      </c>
      <c r="B48" s="24">
        <v>0.13184675036883209</v>
      </c>
      <c r="C48" s="24">
        <v>0.20738374799565507</v>
      </c>
      <c r="D48" s="24">
        <v>0.22690563606738579</v>
      </c>
      <c r="E48" s="24">
        <v>0.22738167269172815</v>
      </c>
      <c r="F48" s="24">
        <v>0.13185775018557244</v>
      </c>
      <c r="G48" s="24">
        <v>8.7550731928811354E-2</v>
      </c>
      <c r="H48" s="24">
        <v>5.5196533748911536E-2</v>
      </c>
      <c r="I48" s="24">
        <v>5.0792835427932337E-2</v>
      </c>
      <c r="J48" s="24">
        <v>6.3806347030306965E-2</v>
      </c>
      <c r="K48" s="24">
        <v>7.757739485981352E-3</v>
      </c>
      <c r="L48" s="24">
        <v>7.8910744108368958E-2</v>
      </c>
      <c r="M48" s="24">
        <v>9.4336178175345786E-2</v>
      </c>
      <c r="N48" s="24">
        <v>0.11419915364278443</v>
      </c>
      <c r="O48" s="24">
        <v>0.1873342814874106</v>
      </c>
      <c r="P48" s="24">
        <v>6.0108132671661929E-2</v>
      </c>
      <c r="Q48" s="24">
        <v>-4.1273077033506578E-2</v>
      </c>
      <c r="R48" s="24">
        <v>7.2235132392891144E-2</v>
      </c>
      <c r="S48" s="24">
        <v>-1.7059553349875967E-2</v>
      </c>
      <c r="T48" s="24">
        <v>3.8244341398466553E-2</v>
      </c>
      <c r="U48" s="24">
        <v>-2.1697711429404021E-2</v>
      </c>
      <c r="V48" s="24">
        <v>-1.7355681745443885E-2</v>
      </c>
      <c r="W48" s="25">
        <v>4.646000330271538E-2</v>
      </c>
      <c r="X48" s="24">
        <v>0.31420251885197747</v>
      </c>
      <c r="Y48" s="24">
        <v>0.37658560829950427</v>
      </c>
      <c r="Z48" s="24">
        <v>0.11064669692586149</v>
      </c>
      <c r="AA48" s="25">
        <v>8.368984932267276E-2</v>
      </c>
      <c r="AB48" s="25">
        <v>5.2810685496735177E-2</v>
      </c>
      <c r="AC48" s="51">
        <v>0.13243066128119962</v>
      </c>
      <c r="AD48" s="51">
        <v>0.17873181460181597</v>
      </c>
      <c r="AE48" s="51">
        <v>0.10193220037684481</v>
      </c>
      <c r="AF48" s="51">
        <v>0.96614376228970955</v>
      </c>
      <c r="AG48" s="51">
        <v>1.0795411613456012</v>
      </c>
      <c r="AH48" s="51">
        <v>0.89319653694031009</v>
      </c>
      <c r="AI48" s="51">
        <v>0.13956587148076505</v>
      </c>
      <c r="AJ48" s="51">
        <v>0.2774833144179083</v>
      </c>
      <c r="AK48" s="51">
        <v>0.22564221553184982</v>
      </c>
      <c r="AL48" s="51">
        <v>8.2025920648766348E-2</v>
      </c>
      <c r="AM48" s="51">
        <v>0.26778869248042714</v>
      </c>
      <c r="AN48" s="51">
        <v>0.28264054517742632</v>
      </c>
    </row>
    <row r="49" spans="1:40" x14ac:dyDescent="0.25">
      <c r="A49" s="1">
        <f t="shared" si="0"/>
        <v>40969</v>
      </c>
      <c r="B49" s="24">
        <v>0.19804676909671382</v>
      </c>
      <c r="C49" s="24">
        <v>0.16603960237330284</v>
      </c>
      <c r="D49" s="24">
        <v>0.19464859941758994</v>
      </c>
      <c r="E49" s="24">
        <v>0.1944765754587392</v>
      </c>
      <c r="F49" s="24">
        <v>0.23730466427229269</v>
      </c>
      <c r="G49" s="24">
        <v>6.5386313207238977E-2</v>
      </c>
      <c r="H49" s="24">
        <v>6.7901258646695162E-2</v>
      </c>
      <c r="I49" s="24">
        <v>7.1952871248053274E-2</v>
      </c>
      <c r="J49" s="24">
        <v>6.0299449681271433E-2</v>
      </c>
      <c r="K49" s="24">
        <v>1.0344326733661813E-2</v>
      </c>
      <c r="L49" s="24">
        <v>2.6095102150057947E-2</v>
      </c>
      <c r="M49" s="24">
        <v>9.3122601945212713E-2</v>
      </c>
      <c r="N49" s="24">
        <v>6.3497341886564751E-2</v>
      </c>
      <c r="O49" s="24">
        <v>0.13580205329956074</v>
      </c>
      <c r="P49" s="24">
        <v>9.1958974358974377E-2</v>
      </c>
      <c r="Q49" s="24">
        <v>0.10515565692498829</v>
      </c>
      <c r="R49" s="24">
        <v>0.12690928332059492</v>
      </c>
      <c r="S49" s="24">
        <v>-2.7091004734350332E-2</v>
      </c>
      <c r="T49" s="24">
        <v>0.1204839892446834</v>
      </c>
      <c r="U49" s="24">
        <v>-4.6059601123854321E-2</v>
      </c>
      <c r="V49" s="24">
        <v>3.2358262652038894E-2</v>
      </c>
      <c r="W49" s="25">
        <v>8.5130061643457156E-2</v>
      </c>
      <c r="X49" s="24">
        <v>0.33449611043051486</v>
      </c>
      <c r="Y49" s="24">
        <v>0.19256102130227415</v>
      </c>
      <c r="Z49" s="24">
        <v>0.10868153865658292</v>
      </c>
      <c r="AA49" s="25">
        <v>0.12011667273565485</v>
      </c>
      <c r="AB49" s="25">
        <v>5.1348459385553769E-2</v>
      </c>
      <c r="AC49" s="51">
        <v>8.2977106102006593E-2</v>
      </c>
      <c r="AD49" s="51">
        <v>0.15944180151554366</v>
      </c>
      <c r="AE49" s="51">
        <v>0.11777611231736507</v>
      </c>
      <c r="AF49" s="51">
        <v>0.36254800035404378</v>
      </c>
      <c r="AG49" s="51">
        <v>0.38807329851107508</v>
      </c>
      <c r="AH49" s="51">
        <v>0.34678950696111177</v>
      </c>
      <c r="AI49" s="51">
        <v>0.12745725518880868</v>
      </c>
      <c r="AJ49" s="51">
        <v>0.19075969539382664</v>
      </c>
      <c r="AK49" s="51">
        <v>0.31342249812027978</v>
      </c>
      <c r="AL49" s="51">
        <v>0.10933894236633201</v>
      </c>
      <c r="AM49" s="51">
        <v>0.18896456114458982</v>
      </c>
      <c r="AN49" s="51">
        <v>0.18676370247562124</v>
      </c>
    </row>
    <row r="50" spans="1:40" x14ac:dyDescent="0.25">
      <c r="A50" s="1">
        <f t="shared" si="0"/>
        <v>41061</v>
      </c>
      <c r="B50" s="24">
        <v>0.26813331319600064</v>
      </c>
      <c r="C50" s="24">
        <v>0.1083539243237599</v>
      </c>
      <c r="D50" s="24">
        <v>4.4780958068506571E-2</v>
      </c>
      <c r="E50" s="24">
        <v>4.3764871104414516E-2</v>
      </c>
      <c r="F50" s="24">
        <v>0.29632308920375161</v>
      </c>
      <c r="G50" s="24">
        <v>-8.1831327177196767E-2</v>
      </c>
      <c r="H50" s="24">
        <v>3.8852178705867102E-2</v>
      </c>
      <c r="I50" s="24">
        <v>3.9713485833424267E-2</v>
      </c>
      <c r="J50" s="24">
        <v>3.7200172531015374E-2</v>
      </c>
      <c r="K50" s="24">
        <v>9.5376984394903719E-3</v>
      </c>
      <c r="L50" s="24">
        <v>9.8674201260595673E-3</v>
      </c>
      <c r="M50" s="24">
        <v>9.5844555178768109E-2</v>
      </c>
      <c r="N50" s="24">
        <v>-0.15547411331877425</v>
      </c>
      <c r="O50" s="24">
        <v>9.4871103233016063E-2</v>
      </c>
      <c r="P50" s="24">
        <v>0.1000106265085845</v>
      </c>
      <c r="Q50" s="24">
        <v>-2.4140077821011685E-2</v>
      </c>
      <c r="R50" s="24">
        <v>4.9360671551423874E-3</v>
      </c>
      <c r="S50" s="24">
        <v>-3.1843724913031779E-2</v>
      </c>
      <c r="T50" s="24">
        <v>0.14950708054563955</v>
      </c>
      <c r="U50" s="24">
        <v>-4.8010880652839205E-2</v>
      </c>
      <c r="V50" s="24">
        <v>-6.5308289021539623E-2</v>
      </c>
      <c r="W50" s="25">
        <v>0.10704785684129825</v>
      </c>
      <c r="X50" s="24">
        <v>4.7757905753068597E-2</v>
      </c>
      <c r="Y50" s="24">
        <v>0.20923474464244918</v>
      </c>
      <c r="Z50" s="24">
        <v>0.12408667175145216</v>
      </c>
      <c r="AA50" s="25">
        <v>0.11202957844585604</v>
      </c>
      <c r="AB50" s="25">
        <v>0.14012809643114577</v>
      </c>
      <c r="AC50" s="51">
        <v>0.12189308414448674</v>
      </c>
      <c r="AD50" s="51">
        <v>0.11566490040994348</v>
      </c>
      <c r="AE50" s="51">
        <v>0.15089022956068043</v>
      </c>
      <c r="AF50" s="51">
        <v>0.35270324452957591</v>
      </c>
      <c r="AG50" s="51">
        <v>0.37186499580143462</v>
      </c>
      <c r="AH50" s="51">
        <v>0.3389498392172372</v>
      </c>
      <c r="AI50" s="51">
        <v>0.15642100052156538</v>
      </c>
      <c r="AJ50" s="51">
        <v>0.12489634227212387</v>
      </c>
      <c r="AK50" s="51">
        <v>0.58527577480984516</v>
      </c>
      <c r="AL50" s="51">
        <v>8.3551647221890679E-2</v>
      </c>
      <c r="AM50" s="51">
        <v>0.12955089360069705</v>
      </c>
      <c r="AN50" s="51">
        <v>0.15814282005911839</v>
      </c>
    </row>
    <row r="51" spans="1:40" x14ac:dyDescent="0.25">
      <c r="A51" s="1">
        <f t="shared" si="0"/>
        <v>41153</v>
      </c>
      <c r="B51" s="24">
        <v>0.27174484852713721</v>
      </c>
      <c r="C51" s="24">
        <v>6.1186953322978743E-2</v>
      </c>
      <c r="D51" s="24">
        <v>6.3586252518967878E-2</v>
      </c>
      <c r="E51" s="24">
        <v>6.3643605642982326E-2</v>
      </c>
      <c r="F51" s="24">
        <v>5.047937569676697E-2</v>
      </c>
      <c r="G51" s="24">
        <v>-0.10034799018682772</v>
      </c>
      <c r="H51" s="24">
        <v>4.3315512022837455E-2</v>
      </c>
      <c r="I51" s="24">
        <v>4.2191212081859941E-2</v>
      </c>
      <c r="J51" s="24">
        <v>4.543150948346808E-2</v>
      </c>
      <c r="K51" s="24">
        <v>3.9189666573066662E-2</v>
      </c>
      <c r="L51" s="24">
        <v>2.4280382651966859E-2</v>
      </c>
      <c r="M51" s="24">
        <v>0.10129914420607267</v>
      </c>
      <c r="N51" s="24">
        <v>-0.19753753556133768</v>
      </c>
      <c r="O51" s="24">
        <v>6.3917372842070108E-2</v>
      </c>
      <c r="P51" s="24">
        <v>9.48929934330629E-2</v>
      </c>
      <c r="Q51" s="24">
        <v>-3.3467799799097531E-2</v>
      </c>
      <c r="R51" s="24">
        <v>-1.7453069507864072E-2</v>
      </c>
      <c r="S51" s="24">
        <v>-3.4425133689839571E-2</v>
      </c>
      <c r="T51" s="24">
        <v>0.18884296459836203</v>
      </c>
      <c r="U51" s="24">
        <v>-4.4490664371608091E-2</v>
      </c>
      <c r="V51" s="24">
        <v>-5.2921558684713377E-2</v>
      </c>
      <c r="W51" s="25">
        <v>0.10980425932915705</v>
      </c>
      <c r="X51" s="24">
        <v>0.13401961543208318</v>
      </c>
      <c r="Y51" s="24">
        <v>-3.6489519976956597E-3</v>
      </c>
      <c r="Z51" s="24">
        <v>0.12806257738409643</v>
      </c>
      <c r="AA51" s="25">
        <v>0.15133247603669653</v>
      </c>
      <c r="AB51" s="25">
        <v>0.19831908298487577</v>
      </c>
      <c r="AC51" s="51">
        <v>0.13969423784903889</v>
      </c>
      <c r="AD51" s="51">
        <v>7.6161386260084507E-2</v>
      </c>
      <c r="AE51" s="51">
        <v>8.71667682821613E-2</v>
      </c>
      <c r="AF51" s="51">
        <v>-0.20183011675025719</v>
      </c>
      <c r="AG51" s="51">
        <v>-0.22559728977188998</v>
      </c>
      <c r="AH51" s="51">
        <v>-0.18670366445075381</v>
      </c>
      <c r="AI51" s="51">
        <v>8.440583440583449E-2</v>
      </c>
      <c r="AJ51" s="51">
        <v>3.4567845512188722E-2</v>
      </c>
      <c r="AK51" s="51">
        <v>3.1517371956520712E-2</v>
      </c>
      <c r="AL51" s="51">
        <v>-0.19602038581997205</v>
      </c>
      <c r="AM51" s="51">
        <v>2.5113522649633513E-2</v>
      </c>
      <c r="AN51" s="51">
        <v>1.1712230546895075E-2</v>
      </c>
    </row>
    <row r="52" spans="1:40" x14ac:dyDescent="0.25">
      <c r="A52" s="1">
        <f t="shared" si="0"/>
        <v>41244</v>
      </c>
      <c r="B52" s="24">
        <v>0.27854710081641354</v>
      </c>
      <c r="C52" s="24">
        <v>-5.4321865621926868E-3</v>
      </c>
      <c r="D52" s="24">
        <v>-1.4152181774503281E-2</v>
      </c>
      <c r="E52" s="24">
        <v>-1.472166172412015E-2</v>
      </c>
      <c r="F52" s="24">
        <v>0.10910391700947963</v>
      </c>
      <c r="G52" s="24">
        <v>2.2210934787426861E-2</v>
      </c>
      <c r="H52" s="24">
        <v>6.2438118167740697E-2</v>
      </c>
      <c r="I52" s="24">
        <v>6.4017085597131596E-2</v>
      </c>
      <c r="J52" s="24">
        <v>5.9388792068332474E-2</v>
      </c>
      <c r="K52" s="24">
        <v>5.6104982883225629E-2</v>
      </c>
      <c r="L52" s="24">
        <v>7.8256008943543787E-2</v>
      </c>
      <c r="M52" s="24">
        <v>0.11109141713237136</v>
      </c>
      <c r="N52" s="24">
        <v>-9.1674806145086718E-3</v>
      </c>
      <c r="O52" s="24">
        <v>4.1882106505028993E-2</v>
      </c>
      <c r="P52" s="24">
        <v>6.6783249143898216E-2</v>
      </c>
      <c r="Q52" s="24">
        <v>7.2338768848359436E-2</v>
      </c>
      <c r="R52" s="24">
        <v>0.10210622710622719</v>
      </c>
      <c r="S52" s="24">
        <v>-1.7040075733669835E-2</v>
      </c>
      <c r="T52" s="24">
        <v>0.1061510568674271</v>
      </c>
      <c r="U52" s="24">
        <v>-4.9077786688051295E-2</v>
      </c>
      <c r="V52" s="24">
        <v>5.4689608323019501E-2</v>
      </c>
      <c r="W52" s="25">
        <v>0.14599992239138015</v>
      </c>
      <c r="X52" s="24">
        <v>6.2448979591836595E-2</v>
      </c>
      <c r="Y52" s="24">
        <v>6.5929394686211396E-2</v>
      </c>
      <c r="Z52" s="24">
        <v>0.14034317365577076</v>
      </c>
      <c r="AA52" s="25">
        <v>0.18411729845637304</v>
      </c>
      <c r="AB52" s="25">
        <v>0.28935353535353525</v>
      </c>
      <c r="AC52" s="51">
        <v>0.15465662892033971</v>
      </c>
      <c r="AD52" s="51">
        <v>1.3595493719144036E-2</v>
      </c>
      <c r="AE52" s="51">
        <v>9.1202768681738933E-2</v>
      </c>
      <c r="AF52" s="51">
        <v>-2.725834615341427E-2</v>
      </c>
      <c r="AG52" s="51">
        <v>-3.3404701790965219E-2</v>
      </c>
      <c r="AH52" s="51">
        <v>-2.730496418555417E-2</v>
      </c>
      <c r="AI52" s="51">
        <v>0.10987058271306926</v>
      </c>
      <c r="AJ52" s="51">
        <v>5.7083750546455425E-2</v>
      </c>
      <c r="AK52" s="51">
        <v>0.84302781178668562</v>
      </c>
      <c r="AL52" s="51">
        <v>0.50909006901448861</v>
      </c>
      <c r="AM52" s="51">
        <v>8.6550168455574061E-2</v>
      </c>
      <c r="AN52" s="51">
        <v>0.1215433218695734</v>
      </c>
    </row>
    <row r="53" spans="1:40" x14ac:dyDescent="0.25">
      <c r="A53" s="1">
        <f t="shared" si="0"/>
        <v>41334</v>
      </c>
      <c r="B53" s="24">
        <v>0.22668336550749069</v>
      </c>
      <c r="C53" s="24">
        <v>1.1011412041264768E-2</v>
      </c>
      <c r="D53" s="24">
        <v>-0.12798110498090853</v>
      </c>
      <c r="E53" s="24">
        <v>-0.12885351196261441</v>
      </c>
      <c r="F53" s="24">
        <v>8.0699730872741293E-2</v>
      </c>
      <c r="G53" s="24">
        <v>-0.19576973704357969</v>
      </c>
      <c r="H53" s="24">
        <v>4.0538705944162867E-2</v>
      </c>
      <c r="I53" s="24">
        <v>4.3600864653789762E-2</v>
      </c>
      <c r="J53" s="24">
        <v>3.4730207326622242E-2</v>
      </c>
      <c r="K53" s="24">
        <v>7.651633249922507E-2</v>
      </c>
      <c r="L53" s="24">
        <v>0.15893579098378474</v>
      </c>
      <c r="M53" s="24">
        <v>0.12395285954798219</v>
      </c>
      <c r="N53" s="24">
        <v>-0.37399559946297289</v>
      </c>
      <c r="O53" s="24">
        <v>2.7727857748675921E-2</v>
      </c>
      <c r="P53" s="24">
        <v>1.5511994439539434E-2</v>
      </c>
      <c r="Q53" s="24">
        <v>-1.6171510419072943E-3</v>
      </c>
      <c r="R53" s="24">
        <v>3.6655606335691537E-2</v>
      </c>
      <c r="S53" s="24">
        <v>7.0289267369560982E-3</v>
      </c>
      <c r="T53" s="24">
        <v>3.001810685224382E-2</v>
      </c>
      <c r="U53" s="24">
        <v>-3.4474433875718136E-2</v>
      </c>
      <c r="V53" s="24">
        <v>2.7352574687724784E-2</v>
      </c>
      <c r="W53" s="25">
        <v>0.10619087104736136</v>
      </c>
      <c r="X53" s="24">
        <v>0.22824898382174474</v>
      </c>
      <c r="Y53" s="24">
        <v>8.029275755813825E-2</v>
      </c>
      <c r="Z53" s="24">
        <v>0.16019241605950185</v>
      </c>
      <c r="AA53" s="25">
        <v>0.17171086888448928</v>
      </c>
      <c r="AB53" s="25">
        <v>0.2466479413913143</v>
      </c>
      <c r="AC53" s="51">
        <v>0.24209288981107768</v>
      </c>
      <c r="AD53" s="51">
        <v>2.3984105026300329E-2</v>
      </c>
      <c r="AE53" s="51">
        <v>5.8906925272971034E-2</v>
      </c>
      <c r="AF53" s="51">
        <v>-5.1460038616109927E-2</v>
      </c>
      <c r="AG53" s="51">
        <v>-5.6609899346979242E-2</v>
      </c>
      <c r="AH53" s="51">
        <v>-5.8264526463186028E-2</v>
      </c>
      <c r="AI53" s="51">
        <v>0.1128172897575217</v>
      </c>
      <c r="AJ53" s="51">
        <v>1.9820420092061308E-2</v>
      </c>
      <c r="AK53" s="51">
        <v>0.50152986263666555</v>
      </c>
      <c r="AL53" s="51">
        <v>0.13979207519641035</v>
      </c>
      <c r="AM53" s="51">
        <v>3.2385529481589126E-2</v>
      </c>
      <c r="AN53" s="51">
        <v>9.4892017666433848E-2</v>
      </c>
    </row>
    <row r="54" spans="1:40" x14ac:dyDescent="0.25">
      <c r="A54" s="1">
        <f t="shared" si="0"/>
        <v>41426</v>
      </c>
      <c r="B54" s="24">
        <v>0.14628809849557656</v>
      </c>
      <c r="C54" s="24">
        <v>-6.5960375890345313E-2</v>
      </c>
      <c r="D54" s="24">
        <v>-0.14561282835580014</v>
      </c>
      <c r="E54" s="24">
        <v>-0.14675267348003973</v>
      </c>
      <c r="F54" s="24">
        <v>8.1551753997729293E-2</v>
      </c>
      <c r="G54" s="24">
        <v>-0.15928912998407041</v>
      </c>
      <c r="H54" s="24">
        <v>6.3040320844846232E-2</v>
      </c>
      <c r="I54" s="24">
        <v>7.0001530538831958E-2</v>
      </c>
      <c r="J54" s="24">
        <v>4.9656212665329713E-2</v>
      </c>
      <c r="K54" s="24">
        <v>8.7181773596682888E-2</v>
      </c>
      <c r="L54" s="24">
        <v>0.22017045454545459</v>
      </c>
      <c r="M54" s="24">
        <v>0.13705336265310786</v>
      </c>
      <c r="N54" s="24">
        <v>-0.32617519583391597</v>
      </c>
      <c r="O54" s="24">
        <v>4.9543049543049777E-2</v>
      </c>
      <c r="P54" s="24">
        <v>8.3999208769776068E-3</v>
      </c>
      <c r="Q54" s="24">
        <v>8.0671143080431884E-2</v>
      </c>
      <c r="R54" s="24">
        <v>0.11137888427093645</v>
      </c>
      <c r="S54" s="24">
        <v>2.0729684908789459E-2</v>
      </c>
      <c r="T54" s="24">
        <v>9.3782777697797304E-3</v>
      </c>
      <c r="U54" s="24">
        <v>-1.8501321522965908E-2</v>
      </c>
      <c r="V54" s="24">
        <v>0.11900966424230353</v>
      </c>
      <c r="W54" s="25">
        <v>8.1884520809790917E-2</v>
      </c>
      <c r="X54" s="24">
        <v>0.34768564551446102</v>
      </c>
      <c r="Y54" s="24">
        <v>-1.0800286496688627E-2</v>
      </c>
      <c r="Z54" s="24">
        <v>0.14544524590375696</v>
      </c>
      <c r="AA54" s="25">
        <v>0.17030774757632972</v>
      </c>
      <c r="AB54" s="25">
        <v>0.21040362291392789</v>
      </c>
      <c r="AC54" s="51">
        <v>0.24501812403326717</v>
      </c>
      <c r="AD54" s="51">
        <v>-5.0893838836432281E-2</v>
      </c>
      <c r="AE54" s="51">
        <v>2.6276263039002545E-2</v>
      </c>
      <c r="AF54" s="51">
        <v>-0.22956970327220949</v>
      </c>
      <c r="AG54" s="51">
        <v>-0.24431352187402311</v>
      </c>
      <c r="AH54" s="51">
        <v>-0.22981944789597752</v>
      </c>
      <c r="AI54" s="51">
        <v>8.1641701480329232E-2</v>
      </c>
      <c r="AJ54" s="51">
        <v>-1.3293778370334741E-2</v>
      </c>
      <c r="AK54" s="51">
        <v>0.14668394602280266</v>
      </c>
      <c r="AL54" s="51">
        <v>9.4977093132005974E-2</v>
      </c>
      <c r="AM54" s="51">
        <v>-5.8932058478630145E-3</v>
      </c>
      <c r="AN54" s="51">
        <v>3.6619827986262621E-2</v>
      </c>
    </row>
    <row r="55" spans="1:40" x14ac:dyDescent="0.25">
      <c r="A55" s="1">
        <f t="shared" si="0"/>
        <v>41518</v>
      </c>
      <c r="B55" s="24">
        <v>0.17484104154927915</v>
      </c>
      <c r="C55" s="24">
        <v>0.10613991165565584</v>
      </c>
      <c r="D55" s="24">
        <v>-0.24502005986495357</v>
      </c>
      <c r="E55" s="24">
        <v>-0.24709675768260897</v>
      </c>
      <c r="F55" s="24">
        <v>0.23551385999915109</v>
      </c>
      <c r="G55" s="24">
        <v>0.10869705060241497</v>
      </c>
      <c r="H55" s="24">
        <v>7.6147990363162332E-2</v>
      </c>
      <c r="I55" s="24">
        <v>8.0940701329709874E-2</v>
      </c>
      <c r="J55" s="24">
        <v>6.715578919140075E-2</v>
      </c>
      <c r="K55" s="24">
        <v>7.4477775211265307E-2</v>
      </c>
      <c r="L55" s="24">
        <v>0.26083678854127412</v>
      </c>
      <c r="M55" s="24">
        <v>0.1515638306108229</v>
      </c>
      <c r="N55" s="24">
        <v>0.13732580762338231</v>
      </c>
      <c r="O55" s="24">
        <v>0.10737939208031233</v>
      </c>
      <c r="P55" s="24">
        <v>3.6822679225631871E-2</v>
      </c>
      <c r="Q55" s="24">
        <v>9.6819426572965162E-2</v>
      </c>
      <c r="R55" s="24">
        <v>7.3117835381596663E-2</v>
      </c>
      <c r="S55" s="24">
        <v>3.1498788508134368E-2</v>
      </c>
      <c r="T55" s="24">
        <v>3.7357749033666288E-3</v>
      </c>
      <c r="U55" s="24">
        <v>2.1792433947157797E-2</v>
      </c>
      <c r="V55" s="24">
        <v>8.9939354001709271E-2</v>
      </c>
      <c r="W55" s="25">
        <v>9.4231265250409146E-2</v>
      </c>
      <c r="X55" s="24">
        <v>0.27853117210332323</v>
      </c>
      <c r="Y55" s="24">
        <v>0.19619359582504337</v>
      </c>
      <c r="Z55" s="24">
        <v>0.1757402983329106</v>
      </c>
      <c r="AA55" s="25">
        <v>0.12639441111801908</v>
      </c>
      <c r="AB55" s="25">
        <v>0.24931177984891395</v>
      </c>
      <c r="AC55" s="51">
        <v>0.29123620405166606</v>
      </c>
      <c r="AD55" s="51">
        <v>0.10892531561075214</v>
      </c>
      <c r="AE55" s="51">
        <v>9.245349940617742E-2</v>
      </c>
      <c r="AF55" s="51">
        <v>0.23968863980381072</v>
      </c>
      <c r="AG55" s="51">
        <v>0.2687998068099493</v>
      </c>
      <c r="AH55" s="51">
        <v>0.20458398005963874</v>
      </c>
      <c r="AI55" s="51">
        <v>0.13330827811294643</v>
      </c>
      <c r="AJ55" s="51">
        <v>7.1108392086590255E-2</v>
      </c>
      <c r="AK55" s="51">
        <v>0.43689376713244887</v>
      </c>
      <c r="AL55" s="51">
        <v>0.39455712055106607</v>
      </c>
      <c r="AM55" s="51">
        <v>8.7015303110447695E-2</v>
      </c>
      <c r="AN55" s="51">
        <v>0.20860414596677779</v>
      </c>
    </row>
    <row r="56" spans="1:40" x14ac:dyDescent="0.25">
      <c r="A56" s="1">
        <f t="shared" si="0"/>
        <v>41609</v>
      </c>
      <c r="B56" s="24">
        <v>0.15885023154043165</v>
      </c>
      <c r="C56" s="24">
        <v>2.1472676718837125E-2</v>
      </c>
      <c r="D56" s="24">
        <v>-6.8414698069761637E-2</v>
      </c>
      <c r="E56" s="24">
        <v>-6.8921292168438342E-2</v>
      </c>
      <c r="F56" s="24">
        <v>2.8973821426651725E-2</v>
      </c>
      <c r="G56" s="24">
        <v>0.13734544122993397</v>
      </c>
      <c r="H56" s="24">
        <v>0.1085242322738893</v>
      </c>
      <c r="I56" s="24">
        <v>9.5340456084326952E-2</v>
      </c>
      <c r="J56" s="24">
        <v>0.1340961765224109</v>
      </c>
      <c r="K56" s="24">
        <v>6.3260528414499362E-2</v>
      </c>
      <c r="L56" s="24">
        <v>0.27638872273397941</v>
      </c>
      <c r="M56" s="24">
        <v>0.16558596939014869</v>
      </c>
      <c r="N56" s="24">
        <v>0.16145154207425261</v>
      </c>
      <c r="O56" s="24">
        <v>0.19860651333691526</v>
      </c>
      <c r="P56" s="24">
        <v>7.9040734973812921E-2</v>
      </c>
      <c r="Q56" s="24">
        <v>6.1691847962688895E-2</v>
      </c>
      <c r="R56" s="24">
        <v>8.0321285140563248E-3</v>
      </c>
      <c r="S56" s="24">
        <v>2.4398073836276124E-2</v>
      </c>
      <c r="T56" s="24">
        <v>0.1106558196246179</v>
      </c>
      <c r="U56" s="24">
        <v>0.10008915018191455</v>
      </c>
      <c r="V56" s="24">
        <v>2.7175351603169196E-2</v>
      </c>
      <c r="W56" s="25">
        <v>0.12221439664824651</v>
      </c>
      <c r="X56" s="24">
        <v>5.5013637392241632E-2</v>
      </c>
      <c r="Y56" s="24">
        <v>6.5806001419473237E-2</v>
      </c>
      <c r="Z56" s="24">
        <v>0.1368326071017818</v>
      </c>
      <c r="AA56" s="25">
        <v>0.11104354876724409</v>
      </c>
      <c r="AB56" s="25">
        <v>9.4388274715116127E-2</v>
      </c>
      <c r="AC56" s="51">
        <v>0.24092473929706437</v>
      </c>
      <c r="AD56" s="51">
        <v>2.9877726201551935E-2</v>
      </c>
      <c r="AE56" s="51">
        <v>8.7794672163115983E-2</v>
      </c>
      <c r="AF56" s="51">
        <v>-3.8465238441212635E-2</v>
      </c>
      <c r="AG56" s="51">
        <v>-4.0170239874588121E-2</v>
      </c>
      <c r="AH56" s="51">
        <v>-4.4887069294133553E-2</v>
      </c>
      <c r="AI56" s="51">
        <v>6.55152101018035E-2</v>
      </c>
      <c r="AJ56" s="51">
        <v>4.6519586659037548E-2</v>
      </c>
      <c r="AK56" s="51">
        <v>-7.0154640954636527E-2</v>
      </c>
      <c r="AL56" s="51">
        <v>-0.17419085833071479</v>
      </c>
      <c r="AM56" s="51">
        <v>3.1626871680688229E-2</v>
      </c>
      <c r="AN56" s="51">
        <v>6.2184370094005459E-2</v>
      </c>
    </row>
    <row r="57" spans="1:40" x14ac:dyDescent="0.25">
      <c r="A57" s="1">
        <f t="shared" si="0"/>
        <v>41699</v>
      </c>
      <c r="B57" s="24">
        <v>9.567126913520041E-2</v>
      </c>
      <c r="C57" s="24">
        <v>-2.5944724808957154E-2</v>
      </c>
      <c r="D57" s="24">
        <v>-0.24704036207765179</v>
      </c>
      <c r="E57" s="24">
        <v>-0.24840126148302766</v>
      </c>
      <c r="F57" s="24">
        <v>1.5404318901419467E-2</v>
      </c>
      <c r="G57" s="24">
        <v>0.48131747389894541</v>
      </c>
      <c r="H57" s="24">
        <v>0.17632600667449871</v>
      </c>
      <c r="I57" s="24">
        <v>0.15500890446167426</v>
      </c>
      <c r="J57" s="24">
        <v>0.21710830190158537</v>
      </c>
      <c r="K57" s="24">
        <v>2.5986437141366725E-2</v>
      </c>
      <c r="L57" s="24">
        <v>0.25473573652425063</v>
      </c>
      <c r="M57" s="24">
        <v>0.18290014797599707</v>
      </c>
      <c r="N57" s="24">
        <v>0.86366653586477771</v>
      </c>
      <c r="O57" s="24">
        <v>0.32772769768810806</v>
      </c>
      <c r="P57" s="24">
        <v>0.157819039470946</v>
      </c>
      <c r="Q57" s="24">
        <v>0.20521720350487471</v>
      </c>
      <c r="R57" s="24">
        <v>8.8756026612716532E-2</v>
      </c>
      <c r="S57" s="24">
        <v>-1.6107382550336613E-3</v>
      </c>
      <c r="T57" s="24">
        <v>0.23204490098485664</v>
      </c>
      <c r="U57" s="24">
        <v>0.19905485822873437</v>
      </c>
      <c r="V57" s="24">
        <v>8.7574326256520507E-2</v>
      </c>
      <c r="W57" s="25">
        <v>8.7672385828635457E-2</v>
      </c>
      <c r="X57" s="24">
        <v>0.1742873145468089</v>
      </c>
      <c r="Y57" s="24">
        <v>9.1859217728133657E-2</v>
      </c>
      <c r="Z57" s="24">
        <v>0.10117332619685726</v>
      </c>
      <c r="AA57" s="25">
        <v>8.2794119722246595E-2</v>
      </c>
      <c r="AB57" s="25">
        <v>0.23053934055265302</v>
      </c>
      <c r="AC57" s="51">
        <v>0.11762162684771815</v>
      </c>
      <c r="AD57" s="51">
        <v>-1.4459664572468611E-2</v>
      </c>
      <c r="AE57" s="51">
        <v>0.14243156455405104</v>
      </c>
      <c r="AF57" s="51">
        <v>7.3073378588808247E-2</v>
      </c>
      <c r="AG57" s="51">
        <v>7.7433198289803773E-2</v>
      </c>
      <c r="AH57" s="51">
        <v>6.7864467841838527E-2</v>
      </c>
      <c r="AI57" s="51">
        <v>5.2761411294877325E-2</v>
      </c>
      <c r="AJ57" s="51">
        <v>4.505194693389325E-2</v>
      </c>
      <c r="AK57" s="51">
        <v>-0.1147209237247232</v>
      </c>
      <c r="AL57" s="51">
        <v>2.6374759562978634E-2</v>
      </c>
      <c r="AM57" s="51">
        <v>4.051138968366752E-2</v>
      </c>
      <c r="AN57" s="51">
        <v>0.12977649219382648</v>
      </c>
    </row>
    <row r="58" spans="1:40" x14ac:dyDescent="0.25">
      <c r="A58" s="1">
        <f t="shared" si="0"/>
        <v>41791</v>
      </c>
      <c r="B58" s="24">
        <v>0.11628043733583016</v>
      </c>
      <c r="C58" s="24">
        <v>0.10567125921179099</v>
      </c>
      <c r="D58" s="24">
        <v>-1.1106073833004215E-2</v>
      </c>
      <c r="E58" s="24">
        <v>-1.1582478141127672E-2</v>
      </c>
      <c r="F58" s="24">
        <v>6.3802152833377868E-2</v>
      </c>
      <c r="G58" s="24">
        <v>0.58195258448387199</v>
      </c>
      <c r="H58" s="24">
        <v>0.1883680688482916</v>
      </c>
      <c r="I58" s="24">
        <v>0.14985366154489199</v>
      </c>
      <c r="J58" s="24">
        <v>0.26385386833914737</v>
      </c>
      <c r="K58" s="24">
        <v>5.9710306589457751E-3</v>
      </c>
      <c r="L58" s="24">
        <v>0.20785268282357938</v>
      </c>
      <c r="M58" s="24">
        <v>0.18414351345438629</v>
      </c>
      <c r="N58" s="24">
        <v>1.048036192700879</v>
      </c>
      <c r="O58" s="24">
        <v>0.35537993785070743</v>
      </c>
      <c r="P58" s="24">
        <v>0.17810856306082323</v>
      </c>
      <c r="Q58" s="24">
        <v>0.26530100211048291</v>
      </c>
      <c r="R58" s="24">
        <v>2.8070272157597831E-2</v>
      </c>
      <c r="S58" s="24">
        <v>6.6070945031139861E-2</v>
      </c>
      <c r="T58" s="24">
        <v>0.25666782126775223</v>
      </c>
      <c r="U58" s="24">
        <v>0.20409995147986426</v>
      </c>
      <c r="V58" s="24">
        <v>1.4708631972577102E-2</v>
      </c>
      <c r="W58" s="25">
        <v>0.11227720374206873</v>
      </c>
      <c r="X58" s="24">
        <v>0.15288503642482376</v>
      </c>
      <c r="Y58" s="24">
        <v>4.2325594882210993E-2</v>
      </c>
      <c r="Z58" s="24">
        <v>9.1256145421921842E-2</v>
      </c>
      <c r="AA58" s="25">
        <v>0.10528615838661248</v>
      </c>
      <c r="AB58" s="25">
        <v>8.6763937753254083E-2</v>
      </c>
      <c r="AC58" s="51">
        <v>4.6865264488706648E-2</v>
      </c>
      <c r="AD58" s="51">
        <v>0.10661335837403252</v>
      </c>
      <c r="AE58" s="51">
        <v>0.15194328641829102</v>
      </c>
      <c r="AF58" s="51">
        <v>-5.9533563682399926E-2</v>
      </c>
      <c r="AG58" s="51">
        <v>-6.9281204509313188E-2</v>
      </c>
      <c r="AH58" s="51">
        <v>-5.2593577046922357E-2</v>
      </c>
      <c r="AI58" s="51">
        <v>2.4014898000289886E-2</v>
      </c>
      <c r="AJ58" s="51">
        <v>9.213909294656375E-2</v>
      </c>
      <c r="AK58" s="51">
        <v>-7.2912301766374421E-2</v>
      </c>
      <c r="AL58" s="51">
        <v>3.9884073758303495E-2</v>
      </c>
      <c r="AM58" s="51">
        <v>8.6160996491215558E-2</v>
      </c>
      <c r="AN58" s="51">
        <v>0.11055402578444795</v>
      </c>
    </row>
    <row r="59" spans="1:40" x14ac:dyDescent="0.25">
      <c r="A59" s="1">
        <f t="shared" si="0"/>
        <v>41883</v>
      </c>
      <c r="B59" s="24">
        <v>5.9441879526303643E-2</v>
      </c>
      <c r="C59" s="24">
        <v>-6.0134095596947157E-2</v>
      </c>
      <c r="D59" s="24">
        <v>8.9160052831642744E-3</v>
      </c>
      <c r="E59" s="24">
        <v>8.6465137630773459E-3</v>
      </c>
      <c r="F59" s="24">
        <v>4.6899158220237158E-2</v>
      </c>
      <c r="G59" s="24">
        <v>0.27425012903365764</v>
      </c>
      <c r="H59" s="24">
        <v>0.17362047928129476</v>
      </c>
      <c r="I59" s="24">
        <v>0.13102494272251786</v>
      </c>
      <c r="J59" s="24">
        <v>0.25457160898728715</v>
      </c>
      <c r="K59" s="24">
        <v>-1.7096617181796003E-2</v>
      </c>
      <c r="L59" s="24">
        <v>0.13821624314897862</v>
      </c>
      <c r="M59" s="24">
        <v>0.16692717524664302</v>
      </c>
      <c r="N59" s="24">
        <v>0.35799864202215748</v>
      </c>
      <c r="O59" s="24">
        <v>0.28769588323863804</v>
      </c>
      <c r="P59" s="24">
        <v>0.11501707236479786</v>
      </c>
      <c r="Q59" s="24">
        <v>0.32576293109931265</v>
      </c>
      <c r="R59" s="24">
        <v>6.6538350495621179E-2</v>
      </c>
      <c r="S59" s="24">
        <v>0.24899328859060388</v>
      </c>
      <c r="T59" s="24">
        <v>0.24798846865453283</v>
      </c>
      <c r="U59" s="24">
        <v>0.19158157643429075</v>
      </c>
      <c r="V59" s="24">
        <v>4.8754912333736522E-2</v>
      </c>
      <c r="W59" s="25">
        <v>9.2864622663156648E-2</v>
      </c>
      <c r="X59" s="24">
        <v>0.13872626880827732</v>
      </c>
      <c r="Y59" s="24">
        <v>6.2478874953477703E-2</v>
      </c>
      <c r="Z59" s="24">
        <v>7.1306134945527289E-2</v>
      </c>
      <c r="AA59" s="25">
        <v>0.12720830097583846</v>
      </c>
      <c r="AB59" s="25">
        <v>-9.980545519514028E-2</v>
      </c>
      <c r="AC59" s="51">
        <v>3.346088791320545E-2</v>
      </c>
      <c r="AD59" s="51">
        <v>-5.1249219215833919E-2</v>
      </c>
      <c r="AE59" s="51">
        <v>0.14377895574512189</v>
      </c>
      <c r="AF59" s="51">
        <v>4.4675549145311466E-2</v>
      </c>
      <c r="AG59" s="51">
        <v>4.2392825522604038E-2</v>
      </c>
      <c r="AH59" s="51">
        <v>4.7190485825766793E-2</v>
      </c>
      <c r="AI59" s="51">
        <v>5.7384316791867951E-2</v>
      </c>
      <c r="AJ59" s="51">
        <v>8.3806706217539828E-2</v>
      </c>
      <c r="AK59" s="51">
        <v>-5.0379076757435692E-2</v>
      </c>
      <c r="AL59" s="51">
        <v>0.12668359957868858</v>
      </c>
      <c r="AM59" s="51">
        <v>8.28724460276129E-2</v>
      </c>
      <c r="AN59" s="51">
        <v>9.9789966864414881E-2</v>
      </c>
    </row>
    <row r="60" spans="1:40" x14ac:dyDescent="0.25">
      <c r="A60" s="1">
        <f t="shared" si="0"/>
        <v>41974</v>
      </c>
      <c r="B60" s="24">
        <v>8.2286897345293042E-2</v>
      </c>
      <c r="C60" s="24">
        <v>8.8966245748829387E-3</v>
      </c>
      <c r="D60" s="24">
        <v>-0.30291346498387539</v>
      </c>
      <c r="E60" s="24">
        <v>-0.30464071121974212</v>
      </c>
      <c r="F60" s="24">
        <v>-2.4727475359594964E-3</v>
      </c>
      <c r="G60" s="24">
        <v>-1.4171665853887516E-2</v>
      </c>
      <c r="H60" s="24">
        <v>0.11504465727059054</v>
      </c>
      <c r="I60" s="24">
        <v>7.6201587044637975E-2</v>
      </c>
      <c r="J60" s="24">
        <v>0.1878120340963072</v>
      </c>
      <c r="K60" s="24">
        <v>-3.1115412533268771E-2</v>
      </c>
      <c r="L60" s="24">
        <v>4.52074481379654E-2</v>
      </c>
      <c r="M60" s="24">
        <v>0.13965526957725838</v>
      </c>
      <c r="N60" s="24">
        <v>-0.11732333268588102</v>
      </c>
      <c r="O60" s="24">
        <v>0.1476709661248965</v>
      </c>
      <c r="P60" s="24">
        <v>2.0540728108298101E-2</v>
      </c>
      <c r="Q60" s="24">
        <v>0.2849063552188551</v>
      </c>
      <c r="R60" s="24">
        <v>8.8775930759719568E-2</v>
      </c>
      <c r="S60" s="24">
        <v>0.18207458476966454</v>
      </c>
      <c r="T60" s="24">
        <v>0.12198326284531635</v>
      </c>
      <c r="U60" s="24">
        <v>0.10276627899336344</v>
      </c>
      <c r="V60" s="24">
        <v>4.7982270782868763E-2</v>
      </c>
      <c r="W60" s="25">
        <v>6.300741050666625E-2</v>
      </c>
      <c r="X60" s="24">
        <v>0.20518352311968235</v>
      </c>
      <c r="Y60" s="24">
        <v>0.12667796015267929</v>
      </c>
      <c r="Z60" s="24">
        <v>9.5956962806755808E-2</v>
      </c>
      <c r="AA60" s="25">
        <v>0.12908065721687678</v>
      </c>
      <c r="AB60" s="25">
        <v>0.15408340662262487</v>
      </c>
      <c r="AC60" s="51">
        <v>6.2373857477816541E-2</v>
      </c>
      <c r="AD60" s="51">
        <v>7.8356604675955399E-3</v>
      </c>
      <c r="AE60" s="51">
        <v>0.12259037252786276</v>
      </c>
      <c r="AF60" s="51">
        <v>0.18000043770927987</v>
      </c>
      <c r="AG60" s="51">
        <v>0.18732037111069277</v>
      </c>
      <c r="AH60" s="51">
        <v>0.17382376155263723</v>
      </c>
      <c r="AI60" s="51">
        <v>0.11363555820167703</v>
      </c>
      <c r="AJ60" s="51">
        <v>2.113538927356462E-2</v>
      </c>
      <c r="AK60" s="51">
        <v>-0.10299485238524253</v>
      </c>
      <c r="AL60" s="51">
        <v>1.831820800605688E-2</v>
      </c>
      <c r="AM60" s="51">
        <v>1.8130892211892791E-2</v>
      </c>
      <c r="AN60" s="51">
        <v>0.10413616200602238</v>
      </c>
    </row>
    <row r="61" spans="1:40" x14ac:dyDescent="0.25">
      <c r="A61" s="1">
        <f t="shared" si="0"/>
        <v>42064</v>
      </c>
      <c r="B61" s="24">
        <v>0.10040014573742284</v>
      </c>
      <c r="C61" s="24">
        <v>3.9828537071031178E-2</v>
      </c>
      <c r="D61" s="24">
        <v>-0.27667955623610929</v>
      </c>
      <c r="E61" s="24">
        <v>-0.27873809523809534</v>
      </c>
      <c r="F61" s="24">
        <v>1.7132646626024872E-2</v>
      </c>
      <c r="G61" s="24">
        <v>-0.31013946727447128</v>
      </c>
      <c r="H61" s="24">
        <v>4.6705730274096746E-2</v>
      </c>
      <c r="I61" s="24">
        <v>1.3596983795924888E-2</v>
      </c>
      <c r="J61" s="24">
        <v>0.10681512330854237</v>
      </c>
      <c r="K61" s="24">
        <v>1.1795714494899912E-4</v>
      </c>
      <c r="L61" s="24">
        <v>-4.6696562032884859E-2</v>
      </c>
      <c r="M61" s="24">
        <v>9.7912509593246266E-2</v>
      </c>
      <c r="N61" s="24">
        <v>-0.59250500315833587</v>
      </c>
      <c r="O61" s="24">
        <v>-4.1761929185538005E-2</v>
      </c>
      <c r="P61" s="24">
        <v>-8.3707126908743712E-2</v>
      </c>
      <c r="Q61" s="24">
        <v>0.25311352029388057</v>
      </c>
      <c r="R61" s="24">
        <v>6.3021752997624247E-2</v>
      </c>
      <c r="S61" s="24">
        <v>0.19521376714170491</v>
      </c>
      <c r="T61" s="24">
        <v>4.4592666448917795E-2</v>
      </c>
      <c r="U61" s="24">
        <v>5.4238348451673524E-2</v>
      </c>
      <c r="V61" s="24">
        <v>4.0410909222790226E-2</v>
      </c>
      <c r="W61" s="25">
        <v>9.220665640289849E-2</v>
      </c>
      <c r="X61" s="24">
        <v>0.11220139046450872</v>
      </c>
      <c r="Y61" s="24">
        <v>5.8047215299479982E-2</v>
      </c>
      <c r="Z61" s="24">
        <v>8.0330642970052768E-2</v>
      </c>
      <c r="AA61" s="25">
        <v>0.1250415278645205</v>
      </c>
      <c r="AB61" s="25">
        <v>9.7065075978092219E-2</v>
      </c>
      <c r="AC61" s="51">
        <v>6.8558509236519516E-2</v>
      </c>
      <c r="AD61" s="51">
        <v>2.8897386549743942E-2</v>
      </c>
      <c r="AE61" s="51">
        <v>4.5943404700021784E-2</v>
      </c>
      <c r="AF61" s="51">
        <v>1.1926337383483698E-2</v>
      </c>
      <c r="AG61" s="51">
        <v>6.8830124728729292E-3</v>
      </c>
      <c r="AH61" s="51">
        <v>7.5478579339651741E-3</v>
      </c>
      <c r="AI61" s="51">
        <v>0.13025961934494656</v>
      </c>
      <c r="AJ61" s="51">
        <v>-2.9304516526645896E-2</v>
      </c>
      <c r="AK61" s="51">
        <v>9.8075925574310219E-3</v>
      </c>
      <c r="AL61" s="51">
        <v>7.6477767058225288E-2</v>
      </c>
      <c r="AM61" s="51">
        <v>-2.3831163107400966E-2</v>
      </c>
      <c r="AN61" s="51">
        <v>2.8481285795921574E-2</v>
      </c>
    </row>
    <row r="62" spans="1:40" x14ac:dyDescent="0.25">
      <c r="A62" s="1">
        <f t="shared" si="0"/>
        <v>42156</v>
      </c>
      <c r="B62" s="24">
        <v>9.2228603720610369E-2</v>
      </c>
      <c r="C62" s="24">
        <v>2.5743614690439953E-2</v>
      </c>
      <c r="D62" s="24">
        <v>-0.26262029958664768</v>
      </c>
      <c r="E62" s="24">
        <v>-0.26448510708544937</v>
      </c>
      <c r="F62" s="24">
        <v>9.8175310665484794E-3</v>
      </c>
      <c r="G62" s="24">
        <v>-0.28346357821340462</v>
      </c>
      <c r="H62" s="24">
        <v>7.5439983047838055E-3</v>
      </c>
      <c r="I62" s="24">
        <v>-2.792648979144885E-2</v>
      </c>
      <c r="J62" s="24">
        <v>7.0793180625751351E-2</v>
      </c>
      <c r="K62" s="24">
        <v>6.2168772931103788E-3</v>
      </c>
      <c r="L62" s="24">
        <v>-9.3781944566137976E-2</v>
      </c>
      <c r="M62" s="24">
        <v>6.0051138798977277E-2</v>
      </c>
      <c r="N62" s="24">
        <v>-0.48342373481648604</v>
      </c>
      <c r="O62" s="24">
        <v>-0.13730980165766371</v>
      </c>
      <c r="P62" s="24">
        <v>-0.14725926614314699</v>
      </c>
      <c r="Q62" s="24">
        <v>0.144226843805769</v>
      </c>
      <c r="R62" s="24">
        <v>7.9677180062383224E-2</v>
      </c>
      <c r="S62" s="24">
        <v>0.20980441960883933</v>
      </c>
      <c r="T62" s="24">
        <v>-2.3445100201050728E-2</v>
      </c>
      <c r="U62" s="24">
        <v>1.1242520097515696E-2</v>
      </c>
      <c r="V62" s="24">
        <v>5.4234997850254762E-2</v>
      </c>
      <c r="W62" s="25">
        <v>8.4479631059013904E-2</v>
      </c>
      <c r="X62" s="24">
        <v>8.3336425595224695E-2</v>
      </c>
      <c r="Y62" s="24">
        <v>5.7030404058454831E-2</v>
      </c>
      <c r="Z62" s="24">
        <v>7.7319481418731684E-2</v>
      </c>
      <c r="AA62" s="25">
        <v>9.2677732477416397E-2</v>
      </c>
      <c r="AB62" s="25">
        <v>0.13313571882278219</v>
      </c>
      <c r="AC62" s="51">
        <v>0.10600813844812551</v>
      </c>
      <c r="AD62" s="51">
        <v>1.5415480215609678E-2</v>
      </c>
      <c r="AE62" s="51">
        <v>1.4702878038950207E-2</v>
      </c>
      <c r="AF62" s="51">
        <v>8.0225505126585439E-3</v>
      </c>
      <c r="AG62" s="51">
        <v>1.103447487077025E-3</v>
      </c>
      <c r="AH62" s="51">
        <v>-5.9931039702343369E-4</v>
      </c>
      <c r="AI62" s="51">
        <v>0.16749198549279298</v>
      </c>
      <c r="AJ62" s="51">
        <v>-3.6057585936644654E-2</v>
      </c>
      <c r="AK62" s="51">
        <v>0.20831219177233828</v>
      </c>
      <c r="AL62" s="51">
        <v>5.9750107507041905E-2</v>
      </c>
      <c r="AM62" s="51">
        <v>-2.7380023505625961E-2</v>
      </c>
      <c r="AN62" s="51">
        <v>2.5151694134290414E-2</v>
      </c>
    </row>
    <row r="63" spans="1:40" x14ac:dyDescent="0.25">
      <c r="A63" s="1">
        <f t="shared" si="0"/>
        <v>42248</v>
      </c>
      <c r="B63" s="24">
        <v>0.10997386845869461</v>
      </c>
      <c r="C63" s="24">
        <v>3.8435739592818763E-2</v>
      </c>
      <c r="D63" s="24">
        <v>-0.35138621767970102</v>
      </c>
      <c r="E63" s="24">
        <v>-0.35349248503959219</v>
      </c>
      <c r="F63" s="24">
        <v>-6.5228093206432525E-2</v>
      </c>
      <c r="G63" s="24">
        <v>-0.35700023281448967</v>
      </c>
      <c r="H63" s="24">
        <v>-1.3116207888842935E-2</v>
      </c>
      <c r="I63" s="24">
        <v>-4.8134541999035108E-2</v>
      </c>
      <c r="J63" s="24">
        <v>4.6880998635119964E-2</v>
      </c>
      <c r="K63" s="24">
        <v>1.900753120808818E-2</v>
      </c>
      <c r="L63" s="24">
        <v>-9.9428004435883954E-2</v>
      </c>
      <c r="M63" s="24">
        <v>2.8863187913179988E-2</v>
      </c>
      <c r="N63" s="24">
        <v>-0.60433859930668188</v>
      </c>
      <c r="O63" s="24">
        <v>-0.16930604728477205</v>
      </c>
      <c r="P63" s="24">
        <v>-0.14871128215867646</v>
      </c>
      <c r="Q63" s="24">
        <v>9.8484332811471953E-2</v>
      </c>
      <c r="R63" s="24">
        <v>3.06702519309896E-2</v>
      </c>
      <c r="S63" s="24">
        <v>-0.11821601289629236</v>
      </c>
      <c r="T63" s="24">
        <v>-4.6613456532606956E-2</v>
      </c>
      <c r="U63" s="24">
        <v>-1.6008055401434462E-2</v>
      </c>
      <c r="V63" s="24">
        <v>1.4394191880522822E-2</v>
      </c>
      <c r="W63" s="25">
        <v>9.937316760322501E-2</v>
      </c>
      <c r="X63" s="24">
        <v>0.10663257332547516</v>
      </c>
      <c r="Y63" s="24">
        <v>6.7547644062119883E-2</v>
      </c>
      <c r="Z63" s="24">
        <v>5.5127417381840349E-2</v>
      </c>
      <c r="AA63" s="25">
        <v>5.9109197407073655E-2</v>
      </c>
      <c r="AB63" s="25">
        <v>7.7027062787784706E-2</v>
      </c>
      <c r="AC63" s="51">
        <v>8.6801941266578808E-2</v>
      </c>
      <c r="AD63" s="51">
        <v>3.2267514200501113E-2</v>
      </c>
      <c r="AE63" s="51">
        <v>-2.3599341643741889E-3</v>
      </c>
      <c r="AF63" s="51">
        <v>9.3236035215827684E-2</v>
      </c>
      <c r="AG63" s="51">
        <v>9.5117135167740452E-2</v>
      </c>
      <c r="AH63" s="51">
        <v>8.2325094357779349E-2</v>
      </c>
      <c r="AI63" s="51">
        <v>0.15970697663670208</v>
      </c>
      <c r="AJ63" s="51">
        <v>-4.7828605552006742E-2</v>
      </c>
      <c r="AK63" s="51">
        <v>0.21066350151171576</v>
      </c>
      <c r="AL63" s="51">
        <v>4.3540562924790027E-2</v>
      </c>
      <c r="AM63" s="51">
        <v>-3.9373918907286365E-2</v>
      </c>
      <c r="AN63" s="51">
        <v>2.6101410126126989E-2</v>
      </c>
    </row>
    <row r="64" spans="1:40" x14ac:dyDescent="0.25">
      <c r="A64" s="1">
        <f t="shared" si="0"/>
        <v>42339</v>
      </c>
      <c r="B64" s="24">
        <v>9.0422730140998553E-2</v>
      </c>
      <c r="C64" s="24">
        <v>4.3132661303384001E-2</v>
      </c>
      <c r="D64" s="24">
        <v>-0.22791354423488064</v>
      </c>
      <c r="E64" s="24">
        <v>-0.23177407401222305</v>
      </c>
      <c r="F64" s="24">
        <v>0.24022414635849465</v>
      </c>
      <c r="G64" s="24">
        <v>-0.21599253839488863</v>
      </c>
      <c r="H64" s="24">
        <v>-5.2473368157048839E-3</v>
      </c>
      <c r="I64" s="24">
        <v>-3.357246804209868E-2</v>
      </c>
      <c r="J64" s="24">
        <v>4.2830066945954037E-2</v>
      </c>
      <c r="K64" s="24">
        <v>1.9682515899177577E-2</v>
      </c>
      <c r="L64" s="24">
        <v>-6.5192049021073006E-2</v>
      </c>
      <c r="M64" s="24">
        <v>-2.3382311387397658E-3</v>
      </c>
      <c r="N64" s="24">
        <v>-0.42851614662679383</v>
      </c>
      <c r="O64" s="24">
        <v>-0.14139560278028607</v>
      </c>
      <c r="P64" s="24">
        <v>-0.10613480397238395</v>
      </c>
      <c r="Q64" s="24">
        <v>0.10572808974962644</v>
      </c>
      <c r="R64" s="24">
        <v>9.1690640825059511E-4</v>
      </c>
      <c r="S64" s="24">
        <v>1.2725344644750836E-2</v>
      </c>
      <c r="T64" s="24">
        <v>-1.2880355452897674E-2</v>
      </c>
      <c r="U64" s="24">
        <v>2.0854436036465529E-2</v>
      </c>
      <c r="V64" s="24">
        <v>8.2292383856266138E-3</v>
      </c>
      <c r="W64" s="25">
        <v>0.11130370608661089</v>
      </c>
      <c r="X64" s="24">
        <v>0.10097267549633249</v>
      </c>
      <c r="Y64" s="24">
        <v>8.2281212319311958E-2</v>
      </c>
      <c r="Z64" s="24">
        <v>4.8619542644691371E-2</v>
      </c>
      <c r="AA64" s="25">
        <v>5.987086232560368E-2</v>
      </c>
      <c r="AB64" s="25">
        <v>6.0857822374553949E-2</v>
      </c>
      <c r="AC64" s="51">
        <v>5.508732086538437E-2</v>
      </c>
      <c r="AD64" s="51">
        <v>4.8806227461481777E-2</v>
      </c>
      <c r="AE64" s="51">
        <v>1.4828187267651227E-2</v>
      </c>
      <c r="AF64" s="51">
        <v>0.13654648566211169</v>
      </c>
      <c r="AG64" s="51">
        <v>0.14149548088723729</v>
      </c>
      <c r="AH64" s="51">
        <v>0.12964552308720201</v>
      </c>
      <c r="AI64" s="51">
        <v>0.11666915946142886</v>
      </c>
      <c r="AJ64" s="51">
        <v>1.0425464101436965E-2</v>
      </c>
      <c r="AK64" s="51">
        <v>3.3416511212862599E-2</v>
      </c>
      <c r="AL64" s="51">
        <v>4.7842243761805792E-2</v>
      </c>
      <c r="AM64" s="51">
        <v>1.2509255955828413E-2</v>
      </c>
      <c r="AN64" s="51">
        <v>5.3172285562149924E-2</v>
      </c>
    </row>
    <row r="65" spans="1:40" x14ac:dyDescent="0.25">
      <c r="A65" s="1">
        <f t="shared" si="0"/>
        <v>42430</v>
      </c>
      <c r="B65" s="24">
        <v>8.9166123449148982E-2</v>
      </c>
      <c r="C65" s="24">
        <v>7.8778876590244185E-2</v>
      </c>
      <c r="D65" s="24">
        <v>-0.24624892900560336</v>
      </c>
      <c r="E65" s="24">
        <v>-0.25032611051990161</v>
      </c>
      <c r="F65" s="24">
        <v>0.16644276807550562</v>
      </c>
      <c r="G65" s="24">
        <v>-0.11814709762238873</v>
      </c>
      <c r="H65" s="24">
        <v>3.8483287019261958E-2</v>
      </c>
      <c r="I65" s="24">
        <v>1.8209531752723773E-2</v>
      </c>
      <c r="J65" s="24">
        <v>7.2190591867203224E-2</v>
      </c>
      <c r="K65" s="24">
        <v>1.487304834452452E-2</v>
      </c>
      <c r="L65" s="24">
        <v>1.8314099347716883E-2</v>
      </c>
      <c r="M65" s="24">
        <v>-3.2511289127486687E-2</v>
      </c>
      <c r="N65" s="24">
        <v>-0.43650099188527736</v>
      </c>
      <c r="O65" s="24">
        <v>-4.2207586025456045E-2</v>
      </c>
      <c r="P65" s="24">
        <v>-2.7811197712332869E-2</v>
      </c>
      <c r="Q65" s="24">
        <v>0.13224448938734645</v>
      </c>
      <c r="R65" s="24">
        <v>6.2677195484667658E-2</v>
      </c>
      <c r="S65" s="24">
        <v>-0.14015748031496067</v>
      </c>
      <c r="T65" s="24">
        <v>4.6457664774129936E-2</v>
      </c>
      <c r="U65" s="24">
        <v>8.6735501226362866E-2</v>
      </c>
      <c r="V65" s="24">
        <v>0.11576571473389752</v>
      </c>
      <c r="W65" s="25">
        <v>0.18786127700871402</v>
      </c>
      <c r="X65" s="24">
        <v>8.4834842726575044E-2</v>
      </c>
      <c r="Y65" s="24">
        <v>5.3701689508252493E-2</v>
      </c>
      <c r="Z65" s="24">
        <v>6.4518536911953861E-2</v>
      </c>
      <c r="AA65" s="25">
        <v>5.7446312548629752E-2</v>
      </c>
      <c r="AB65" s="25">
        <v>0.11118153421473198</v>
      </c>
      <c r="AC65" s="51">
        <v>6.0593279955917456E-2</v>
      </c>
      <c r="AD65" s="51">
        <v>9.9669936656306968E-2</v>
      </c>
      <c r="AE65" s="51">
        <v>6.1323842572319709E-2</v>
      </c>
      <c r="AF65" s="51">
        <v>2.9800249419884794E-2</v>
      </c>
      <c r="AG65" s="51">
        <v>2.3604343973131936E-2</v>
      </c>
      <c r="AH65" s="51">
        <v>3.0641194952497841E-2</v>
      </c>
      <c r="AI65" s="51">
        <v>0.10934657855572372</v>
      </c>
      <c r="AJ65" s="51">
        <v>9.6987632746339258E-3</v>
      </c>
      <c r="AK65" s="51">
        <v>0.14450332725830761</v>
      </c>
      <c r="AL65" s="51">
        <v>8.3421696529716538E-2</v>
      </c>
      <c r="AM65" s="51">
        <v>1.6059890536391563E-2</v>
      </c>
      <c r="AN65" s="51">
        <v>5.4227248010901619E-2</v>
      </c>
    </row>
    <row r="66" spans="1:40" x14ac:dyDescent="0.25">
      <c r="A66" s="1">
        <f t="shared" si="0"/>
        <v>42522</v>
      </c>
      <c r="B66" s="24">
        <v>0.11422798356545472</v>
      </c>
      <c r="C66" s="24">
        <v>0.11315880395224487</v>
      </c>
      <c r="D66" s="24">
        <v>-0.19117007139647635</v>
      </c>
      <c r="E66" s="24">
        <v>-0.19352663173544582</v>
      </c>
      <c r="F66" s="24">
        <v>5.9591241843055531E-2</v>
      </c>
      <c r="G66" s="24">
        <v>-3.2808675917752717E-2</v>
      </c>
      <c r="H66" s="24">
        <v>4.3732340493056965E-2</v>
      </c>
      <c r="I66" s="24">
        <v>1.5659447815761673E-2</v>
      </c>
      <c r="J66" s="24">
        <v>8.9175490478222486E-2</v>
      </c>
      <c r="K66" s="24">
        <v>1.7287551909247467E-2</v>
      </c>
      <c r="L66" s="24">
        <v>7.451334278715982E-2</v>
      </c>
      <c r="M66" s="24">
        <v>-4.767017093778747E-2</v>
      </c>
      <c r="N66" s="24">
        <v>-0.13538874079735819</v>
      </c>
      <c r="O66" s="24">
        <v>3.1747852646371477E-2</v>
      </c>
      <c r="P66" s="24">
        <v>3.8924358147687466E-2</v>
      </c>
      <c r="Q66" s="24">
        <v>8.0949662582315618E-2</v>
      </c>
      <c r="R66" s="24">
        <v>-5.8855667030893066E-2</v>
      </c>
      <c r="S66" s="24">
        <v>-0.13562880537476385</v>
      </c>
      <c r="T66" s="24">
        <v>3.3504897891416308E-2</v>
      </c>
      <c r="U66" s="24">
        <v>6.9036281405032707E-2</v>
      </c>
      <c r="V66" s="24">
        <v>-1.5730598927988781E-3</v>
      </c>
      <c r="W66" s="25">
        <v>0.24386863826399985</v>
      </c>
      <c r="X66" s="24">
        <v>0.17378825872980785</v>
      </c>
      <c r="Y66" s="24">
        <v>7.0889335614025661E-2</v>
      </c>
      <c r="Z66" s="24">
        <v>8.1127632846858644E-2</v>
      </c>
      <c r="AA66" s="25">
        <v>5.5353671192202025E-2</v>
      </c>
      <c r="AB66" s="25">
        <v>0.16696251728390443</v>
      </c>
      <c r="AC66" s="51">
        <v>8.3581839348382925E-2</v>
      </c>
      <c r="AD66" s="51">
        <v>0.13886080965823444</v>
      </c>
      <c r="AE66" s="51">
        <v>8.294926780012557E-2</v>
      </c>
      <c r="AF66" s="51">
        <v>4.4458835389073137E-2</v>
      </c>
      <c r="AG66" s="51">
        <v>3.8444630991418594E-2</v>
      </c>
      <c r="AH66" s="51">
        <v>4.7649972482113334E-2</v>
      </c>
      <c r="AI66" s="51">
        <v>9.1498090587720515E-2</v>
      </c>
      <c r="AJ66" s="51">
        <v>4.2690259913752415E-2</v>
      </c>
      <c r="AK66" s="51">
        <v>-0.10459217163769774</v>
      </c>
      <c r="AL66" s="51">
        <v>3.5198716472621072E-2</v>
      </c>
      <c r="AM66" s="51">
        <v>3.8853256359016264E-2</v>
      </c>
      <c r="AN66" s="51">
        <v>7.580073840677426E-2</v>
      </c>
    </row>
    <row r="67" spans="1:40" x14ac:dyDescent="0.25">
      <c r="A67" s="1">
        <f t="shared" si="0"/>
        <v>42614</v>
      </c>
      <c r="B67" s="24">
        <v>0.11102047919395108</v>
      </c>
      <c r="C67" s="24">
        <v>0.12428399346921304</v>
      </c>
      <c r="D67" s="24">
        <v>2.1721395648659492E-3</v>
      </c>
      <c r="E67" s="24">
        <v>4.6744966041689651E-4</v>
      </c>
      <c r="F67" s="24">
        <v>0.16234529974545775</v>
      </c>
      <c r="G67" s="24">
        <v>9.9878353701622125E-2</v>
      </c>
      <c r="H67" s="24">
        <v>6.3394342762063349E-2</v>
      </c>
      <c r="I67" s="24">
        <v>4.9785259047267161E-2</v>
      </c>
      <c r="J67" s="24">
        <v>8.4594675808103537E-2</v>
      </c>
      <c r="K67" s="24">
        <v>2.3391149754384832E-2</v>
      </c>
      <c r="L67" s="24">
        <v>0.10262808256910461</v>
      </c>
      <c r="M67" s="24">
        <v>-4.9835514803667658E-2</v>
      </c>
      <c r="N67" s="24">
        <v>0.16533057598856216</v>
      </c>
      <c r="O67" s="24">
        <v>7.0782224009652062E-2</v>
      </c>
      <c r="P67" s="24">
        <v>7.2682123047645542E-2</v>
      </c>
      <c r="Q67" s="24">
        <v>0.10726346989992441</v>
      </c>
      <c r="R67" s="24">
        <v>3.6157341341060967E-2</v>
      </c>
      <c r="S67" s="24">
        <v>0.33668494820231576</v>
      </c>
      <c r="T67" s="24">
        <v>3.6217340204321546E-2</v>
      </c>
      <c r="U67" s="24">
        <v>7.4012196140673447E-2</v>
      </c>
      <c r="V67" s="24">
        <v>9.0156728677351916E-2</v>
      </c>
      <c r="W67" s="25">
        <v>0.23630561526201199</v>
      </c>
      <c r="X67" s="24">
        <v>7.6482000181718579E-2</v>
      </c>
      <c r="Y67" s="24">
        <v>4.3505339774570828E-2</v>
      </c>
      <c r="Z67" s="24">
        <v>7.3662459521045331E-2</v>
      </c>
      <c r="AA67" s="25">
        <v>2.6265781148798739E-2</v>
      </c>
      <c r="AB67" s="25">
        <v>0.18479994594517124</v>
      </c>
      <c r="AC67" s="51">
        <v>8.6432107914395262E-2</v>
      </c>
      <c r="AD67" s="51">
        <v>0.14711627004581063</v>
      </c>
      <c r="AE67" s="51">
        <v>8.7511213030950996E-2</v>
      </c>
      <c r="AF67" s="51">
        <v>-1.6693512834050295E-2</v>
      </c>
      <c r="AG67" s="51">
        <v>-2.4063935333471953E-2</v>
      </c>
      <c r="AH67" s="51">
        <v>-1.1020446461800337E-2</v>
      </c>
      <c r="AI67" s="51">
        <v>4.1800460021406805E-2</v>
      </c>
      <c r="AJ67" s="51">
        <v>5.4684359468844201E-2</v>
      </c>
      <c r="AK67" s="51">
        <v>-0.1180517279895581</v>
      </c>
      <c r="AL67" s="51">
        <v>8.7893383500533995E-2</v>
      </c>
      <c r="AM67" s="51">
        <v>5.2391720440778888E-2</v>
      </c>
      <c r="AN67" s="51">
        <v>5.9053265172308578E-2</v>
      </c>
    </row>
    <row r="68" spans="1:40" x14ac:dyDescent="0.25">
      <c r="A68" s="1">
        <f t="shared" si="0"/>
        <v>42705</v>
      </c>
      <c r="B68" s="24">
        <v>9.1086146996856465E-2</v>
      </c>
      <c r="C68" s="24">
        <v>0.11728584894603622</v>
      </c>
      <c r="D68" s="24">
        <v>0.27016778617198711</v>
      </c>
      <c r="E68" s="24">
        <v>0.27392774032120637</v>
      </c>
      <c r="F68" s="24">
        <v>-1.2245759729748729E-2</v>
      </c>
      <c r="G68" s="24">
        <v>0.11708843183146977</v>
      </c>
      <c r="H68" s="24">
        <v>6.7525274754119069E-2</v>
      </c>
      <c r="I68" s="24">
        <v>5.0098943554254705E-2</v>
      </c>
      <c r="J68" s="24">
        <v>9.4936647796481921E-2</v>
      </c>
      <c r="K68" s="24">
        <v>3.9637867204369126E-2</v>
      </c>
      <c r="L68" s="24">
        <v>9.8708192108460713E-2</v>
      </c>
      <c r="M68" s="24">
        <v>-3.6692180784399731E-2</v>
      </c>
      <c r="N68" s="24">
        <v>0.20408850024971015</v>
      </c>
      <c r="O68" s="24">
        <v>7.2153904851348649E-2</v>
      </c>
      <c r="P68" s="24">
        <v>7.5655590553372676E-2</v>
      </c>
      <c r="Q68" s="24">
        <v>7.2077242809401643E-2</v>
      </c>
      <c r="R68" s="24">
        <v>4.2382781312244155E-2</v>
      </c>
      <c r="S68" s="24">
        <v>0.31753926701570689</v>
      </c>
      <c r="T68" s="24">
        <v>3.2271693207669871E-2</v>
      </c>
      <c r="U68" s="24">
        <v>7.0935232202961274E-2</v>
      </c>
      <c r="V68" s="24">
        <v>5.6841831425598288E-2</v>
      </c>
      <c r="W68" s="25">
        <v>0.25139713319506729</v>
      </c>
      <c r="X68" s="24">
        <v>7.8468493823439012E-2</v>
      </c>
      <c r="Y68" s="24">
        <v>4.7795378367738728E-2</v>
      </c>
      <c r="Z68" s="24">
        <v>6.6716065958901671E-2</v>
      </c>
      <c r="AA68" s="25">
        <v>1.5092186204139102E-2</v>
      </c>
      <c r="AB68" s="25">
        <v>0.21361296077887637</v>
      </c>
      <c r="AC68" s="51">
        <v>9.8298517289417742E-2</v>
      </c>
      <c r="AD68" s="51">
        <v>0.12873398794520896</v>
      </c>
      <c r="AE68" s="51">
        <v>5.8016038470182663E-2</v>
      </c>
      <c r="AF68" s="51">
        <v>1.9653440506055775E-2</v>
      </c>
      <c r="AG68" s="51">
        <v>1.7992647446043009E-2</v>
      </c>
      <c r="AH68" s="51">
        <v>2.0099762527964637E-2</v>
      </c>
      <c r="AI68" s="51">
        <v>4.648319611514351E-2</v>
      </c>
      <c r="AJ68" s="51">
        <v>8.8790270945281691E-2</v>
      </c>
      <c r="AK68" s="51">
        <v>-0.10826157116176582</v>
      </c>
      <c r="AL68" s="51">
        <v>4.3849238098286003E-2</v>
      </c>
      <c r="AM68" s="51">
        <v>8.2669390799901654E-2</v>
      </c>
      <c r="AN68" s="51">
        <v>5.9421254191548867E-2</v>
      </c>
    </row>
    <row r="69" spans="1:40" x14ac:dyDescent="0.25">
      <c r="A69" s="1">
        <f t="shared" si="0"/>
        <v>42795</v>
      </c>
      <c r="B69" s="24">
        <v>9.0942129318279497E-2</v>
      </c>
      <c r="C69" s="24">
        <v>8.1595773144284012E-2</v>
      </c>
      <c r="D69" s="24">
        <v>0.38357362933813155</v>
      </c>
      <c r="E69" s="24">
        <v>0.38903492395672434</v>
      </c>
      <c r="F69" s="24">
        <v>2.8305229896937734E-2</v>
      </c>
      <c r="G69" s="24">
        <v>0.36139747561041213</v>
      </c>
      <c r="H69" s="24">
        <v>5.9034738240342E-2</v>
      </c>
      <c r="I69" s="24">
        <v>3.7528558968805248E-2</v>
      </c>
      <c r="J69" s="24">
        <v>9.2990873668634011E-2</v>
      </c>
      <c r="K69" s="24">
        <v>6.4723609229856871E-2</v>
      </c>
      <c r="L69" s="24">
        <v>5.9374230105937453E-2</v>
      </c>
      <c r="M69" s="24">
        <v>3.4362423865844871E-2</v>
      </c>
      <c r="N69" s="24">
        <v>1.4939771839135623</v>
      </c>
      <c r="O69" s="24">
        <v>3.3051862867210069E-2</v>
      </c>
      <c r="P69" s="24">
        <v>4.6977006958892176E-2</v>
      </c>
      <c r="Q69" s="24">
        <v>3.3847847071241111E-2</v>
      </c>
      <c r="R69" s="24">
        <v>6.0764528246298966E-2</v>
      </c>
      <c r="S69" s="24">
        <v>0.24123495552066987</v>
      </c>
      <c r="T69" s="24">
        <v>-5.6221299616279752E-2</v>
      </c>
      <c r="U69" s="24">
        <v>-1.754609490180381E-2</v>
      </c>
      <c r="V69" s="24">
        <v>1.8463989752641963E-2</v>
      </c>
      <c r="W69" s="25">
        <v>0.16999885061398978</v>
      </c>
      <c r="X69" s="24">
        <v>4.2452516440991017E-2</v>
      </c>
      <c r="Y69" s="24">
        <v>5.9555603671929358E-2</v>
      </c>
      <c r="Z69" s="24">
        <v>7.7546384211625519E-2</v>
      </c>
      <c r="AA69" s="25">
        <v>2.611777867174192E-2</v>
      </c>
      <c r="AB69" s="25">
        <v>0.11013122261428676</v>
      </c>
      <c r="AC69" s="51">
        <v>0.12816081818156633</v>
      </c>
      <c r="AD69" s="51">
        <v>7.3785622307469323E-2</v>
      </c>
      <c r="AE69" s="51">
        <v>6.5316340756561786E-2</v>
      </c>
      <c r="AF69" s="51">
        <v>1.846205876530238E-2</v>
      </c>
      <c r="AG69" s="51">
        <v>1.9472697052409949E-2</v>
      </c>
      <c r="AH69" s="51">
        <v>1.2214021539976638E-2</v>
      </c>
      <c r="AI69" s="51">
        <v>5.2124681863602973E-2</v>
      </c>
      <c r="AJ69" s="51">
        <v>0.11435786834318495</v>
      </c>
      <c r="AK69" s="51">
        <v>-7.0378596668349336E-2</v>
      </c>
      <c r="AL69" s="51">
        <v>2.1622736752527905E-2</v>
      </c>
      <c r="AM69" s="51">
        <v>0.10527004595155409</v>
      </c>
      <c r="AN69" s="51">
        <v>7.631717043951225E-2</v>
      </c>
    </row>
    <row r="70" spans="1:40" x14ac:dyDescent="0.25">
      <c r="A70" s="1">
        <f t="shared" si="0"/>
        <v>42887</v>
      </c>
      <c r="B70" s="24">
        <v>4.3776411645171098E-2</v>
      </c>
      <c r="C70" s="24">
        <v>2.3231876074471192E-2</v>
      </c>
      <c r="D70" s="24">
        <v>0.13764181660225816</v>
      </c>
      <c r="E70" s="24">
        <v>0.13815089734654995</v>
      </c>
      <c r="F70" s="24">
        <v>9.6411154182818537E-2</v>
      </c>
      <c r="G70" s="24">
        <v>2.6789435569325004E-2</v>
      </c>
      <c r="H70" s="24">
        <v>4.3967634229946873E-2</v>
      </c>
      <c r="I70" s="24">
        <v>2.6086503827529528E-2</v>
      </c>
      <c r="J70" s="24">
        <v>7.0959100998700508E-2</v>
      </c>
      <c r="K70" s="24">
        <v>7.7437751899702034E-2</v>
      </c>
      <c r="L70" s="24">
        <v>3.7132573485302967E-2</v>
      </c>
      <c r="M70" s="24">
        <v>6.5882904118413466E-2</v>
      </c>
      <c r="N70" s="24">
        <v>-1.0022328131756852E-3</v>
      </c>
      <c r="O70" s="24">
        <v>1.4495976428402724E-2</v>
      </c>
      <c r="P70" s="24">
        <v>2.2714756505852307E-2</v>
      </c>
      <c r="Q70" s="24">
        <v>-9.0438423598864226E-3</v>
      </c>
      <c r="R70" s="24">
        <v>3.4109099864548797E-2</v>
      </c>
      <c r="S70" s="24">
        <v>0.16929803254797182</v>
      </c>
      <c r="T70" s="24">
        <v>-4.8660197918005466E-2</v>
      </c>
      <c r="U70" s="24">
        <v>2.6651259877739086E-3</v>
      </c>
      <c r="V70" s="24">
        <v>-3.4703523703932149E-2</v>
      </c>
      <c r="W70" s="25">
        <v>0.11761780878188</v>
      </c>
      <c r="X70" s="24">
        <v>2.0665238566169197E-2</v>
      </c>
      <c r="Y70" s="24">
        <v>4.4885861928265935E-2</v>
      </c>
      <c r="Z70" s="24">
        <v>5.9886067143654964E-2</v>
      </c>
      <c r="AA70" s="25">
        <v>2.1016923989016112E-2</v>
      </c>
      <c r="AB70" s="25">
        <v>7.2076024562274243E-2</v>
      </c>
      <c r="AC70" s="51">
        <v>0.10376135670517206</v>
      </c>
      <c r="AD70" s="51">
        <v>9.4048985659089812E-3</v>
      </c>
      <c r="AE70" s="51">
        <v>6.4447675895872747E-2</v>
      </c>
      <c r="AF70" s="51">
        <v>4.8028369487982392E-3</v>
      </c>
      <c r="AG70" s="51">
        <v>7.1376777168232763E-3</v>
      </c>
      <c r="AH70" s="51">
        <v>-6.2253228128053006E-3</v>
      </c>
      <c r="AI70" s="51">
        <v>5.0576798093587394E-2</v>
      </c>
      <c r="AJ70" s="51">
        <v>5.2219722155632198E-2</v>
      </c>
      <c r="AK70" s="51">
        <v>-7.7363545800729461E-2</v>
      </c>
      <c r="AL70" s="51">
        <v>0.12901287538124762</v>
      </c>
      <c r="AM70" s="51">
        <v>5.3058156345211938E-2</v>
      </c>
      <c r="AN70" s="51">
        <v>4.2843475207045456E-2</v>
      </c>
    </row>
    <row r="71" spans="1:40" x14ac:dyDescent="0.25">
      <c r="A71" s="1">
        <f t="shared" ref="A71:A90" si="1">EDATE(A70,3)</f>
        <v>42979</v>
      </c>
      <c r="B71" s="24">
        <v>4.0190243780970691E-2</v>
      </c>
      <c r="C71" s="24">
        <v>3.3136114439846764E-2</v>
      </c>
      <c r="D71" s="24">
        <v>6.6757815620006156E-2</v>
      </c>
      <c r="E71" s="24">
        <v>6.8610724656626099E-2</v>
      </c>
      <c r="F71" s="24">
        <v>-8.30954646368538E-2</v>
      </c>
      <c r="G71" s="24">
        <v>4.1234596930863399E-2</v>
      </c>
      <c r="H71" s="24">
        <v>6.8812094818136327E-2</v>
      </c>
      <c r="I71" s="24">
        <v>4.6378009388249097E-2</v>
      </c>
      <c r="J71" s="24">
        <v>0.1026384472378401</v>
      </c>
      <c r="K71" s="24">
        <v>9.6503064814192019E-2</v>
      </c>
      <c r="L71" s="24">
        <v>4.525950743549112E-3</v>
      </c>
      <c r="M71" s="24">
        <v>9.0688766114180419E-2</v>
      </c>
      <c r="N71" s="24">
        <v>-3.9116739735269856E-3</v>
      </c>
      <c r="O71" s="24">
        <v>1.6512080613763969E-2</v>
      </c>
      <c r="P71" s="24">
        <v>1.340522016062029E-2</v>
      </c>
      <c r="Q71" s="24">
        <v>7.2752371447493136E-3</v>
      </c>
      <c r="R71" s="24">
        <v>9.3102836430001945E-2</v>
      </c>
      <c r="S71" s="24">
        <v>0.12263505812628228</v>
      </c>
      <c r="T71" s="24">
        <v>-1.4081803587631669E-2</v>
      </c>
      <c r="U71" s="24">
        <v>5.3550595006611079E-2</v>
      </c>
      <c r="V71" s="24">
        <v>3.2573634823406916E-2</v>
      </c>
      <c r="W71" s="25">
        <v>0.11153959582625306</v>
      </c>
      <c r="X71" s="24">
        <v>6.0935605260728609E-2</v>
      </c>
      <c r="Y71" s="24">
        <v>4.7519329701535273E-2</v>
      </c>
      <c r="Z71" s="24">
        <v>7.2286452773850041E-2</v>
      </c>
      <c r="AA71" s="25">
        <v>6.8528054828999263E-2</v>
      </c>
      <c r="AB71" s="25">
        <v>0.24846366011806831</v>
      </c>
      <c r="AC71" s="51">
        <v>7.6602918381867058E-2</v>
      </c>
      <c r="AD71" s="51">
        <v>1.4435616858508471E-2</v>
      </c>
      <c r="AE71" s="51">
        <v>6.7466027677393736E-2</v>
      </c>
      <c r="AF71" s="51">
        <v>-6.4631436972778511E-3</v>
      </c>
      <c r="AG71" s="51">
        <v>-5.6185614860648769E-3</v>
      </c>
      <c r="AH71" s="51">
        <v>-1.7491480614177601E-2</v>
      </c>
      <c r="AI71" s="51">
        <v>6.712808630168432E-2</v>
      </c>
      <c r="AJ71" s="51">
        <v>5.1773764808444867E-2</v>
      </c>
      <c r="AK71" s="51">
        <v>4.6525801395674637E-2</v>
      </c>
      <c r="AL71" s="51">
        <v>0.131970669181668</v>
      </c>
      <c r="AM71" s="51">
        <v>5.5522896160541624E-2</v>
      </c>
      <c r="AN71" s="51">
        <v>5.4112645377056623E-2</v>
      </c>
    </row>
    <row r="72" spans="1:40" x14ac:dyDescent="0.25">
      <c r="A72" s="1">
        <f t="shared" si="1"/>
        <v>43070</v>
      </c>
      <c r="B72" s="24">
        <v>6.9813415401437595E-2</v>
      </c>
      <c r="C72" s="24">
        <v>7.1893186343818138E-2</v>
      </c>
      <c r="D72" s="24">
        <v>4.1346051506826464E-2</v>
      </c>
      <c r="E72" s="24">
        <v>4.1448207870488973E-2</v>
      </c>
      <c r="F72" s="24">
        <v>3.1449946562166042E-2</v>
      </c>
      <c r="G72" s="24">
        <v>0.15077245905145054</v>
      </c>
      <c r="H72" s="24">
        <v>7.0418855638711308E-2</v>
      </c>
      <c r="I72" s="24">
        <v>5.6149798995634992E-2</v>
      </c>
      <c r="J72" s="24">
        <v>9.1944755604459916E-2</v>
      </c>
      <c r="K72" s="24">
        <v>7.3249733023430963E-2</v>
      </c>
      <c r="L72" s="24">
        <v>6.4026076074619187E-3</v>
      </c>
      <c r="M72" s="24">
        <v>6.8601292200489494E-2</v>
      </c>
      <c r="N72" s="24">
        <v>0.2758230494854661</v>
      </c>
      <c r="O72" s="24">
        <v>3.744257239186255E-2</v>
      </c>
      <c r="P72" s="24">
        <v>1.6551807415968733E-2</v>
      </c>
      <c r="Q72" s="24">
        <v>3.5549914082670719E-2</v>
      </c>
      <c r="R72" s="24">
        <v>0.10350721599612989</v>
      </c>
      <c r="S72" s="24">
        <v>0.22928670772898885</v>
      </c>
      <c r="T72" s="24">
        <v>3.511947863866749E-2</v>
      </c>
      <c r="U72" s="24">
        <v>0.11259878281406133</v>
      </c>
      <c r="V72" s="24">
        <v>7.7761538461538438E-2</v>
      </c>
      <c r="W72" s="25">
        <v>7.9602619629806304E-2</v>
      </c>
      <c r="X72" s="24">
        <v>0.13132086162411083</v>
      </c>
      <c r="Y72" s="24">
        <v>1.5858773982147634E-2</v>
      </c>
      <c r="Z72" s="24">
        <v>6.2654615018998161E-2</v>
      </c>
      <c r="AA72" s="25">
        <v>8.0704699696972027E-2</v>
      </c>
      <c r="AB72" s="25">
        <v>0.1366844878564466</v>
      </c>
      <c r="AC72" s="51">
        <v>2.9866305514841818E-2</v>
      </c>
      <c r="AD72" s="51">
        <v>5.1883259124092529E-2</v>
      </c>
      <c r="AE72" s="51">
        <v>7.4542882870928917E-2</v>
      </c>
      <c r="AF72" s="51">
        <v>-5.6956181615223644E-2</v>
      </c>
      <c r="AG72" s="51">
        <v>-6.0582385704185726E-2</v>
      </c>
      <c r="AH72" s="51">
        <v>-6.3257552022813357E-2</v>
      </c>
      <c r="AI72" s="51">
        <v>7.495125431630778E-2</v>
      </c>
      <c r="AJ72" s="51">
        <v>4.9611026323794771E-2</v>
      </c>
      <c r="AK72" s="51">
        <v>-0.14632733024507105</v>
      </c>
      <c r="AL72" s="51">
        <v>0.11518390189913186</v>
      </c>
      <c r="AM72" s="51">
        <v>4.9061566538280088E-2</v>
      </c>
      <c r="AN72" s="51">
        <v>5.0208525628517631E-2</v>
      </c>
    </row>
    <row r="73" spans="1:40" x14ac:dyDescent="0.25">
      <c r="A73" s="1">
        <f t="shared" si="1"/>
        <v>43160</v>
      </c>
      <c r="B73" s="24">
        <v>7.4448692205774325E-2</v>
      </c>
      <c r="C73" s="24">
        <v>6.989197825100768E-2</v>
      </c>
      <c r="D73" s="24">
        <v>0.18833509577361718</v>
      </c>
      <c r="E73" s="24">
        <v>0.1893376333318737</v>
      </c>
      <c r="F73" s="24">
        <v>0.10023979437990893</v>
      </c>
      <c r="G73" s="24">
        <v>9.8485694571521787E-3</v>
      </c>
      <c r="H73" s="24">
        <v>6.6817687105985568E-2</v>
      </c>
      <c r="I73" s="24">
        <v>4.5283399424449033E-2</v>
      </c>
      <c r="J73" s="24">
        <v>9.9092893649823877E-2</v>
      </c>
      <c r="K73" s="24">
        <v>3.1393847694108468E-2</v>
      </c>
      <c r="L73" s="24">
        <v>4.6337209302325544E-2</v>
      </c>
      <c r="M73" s="24">
        <v>3.8159300936694507E-2</v>
      </c>
      <c r="N73" s="24">
        <v>-8.0765937326902737E-2</v>
      </c>
      <c r="O73" s="24">
        <v>8.5764582913098408E-2</v>
      </c>
      <c r="P73" s="24">
        <v>1.3460327793028748E-2</v>
      </c>
      <c r="Q73" s="24">
        <v>-2.6814774740185565E-2</v>
      </c>
      <c r="R73" s="24">
        <v>4.143714607539084E-2</v>
      </c>
      <c r="S73" s="24">
        <v>0.43064924114671177</v>
      </c>
      <c r="T73" s="24">
        <v>5.505473814006967E-2</v>
      </c>
      <c r="U73" s="24">
        <v>0.16934990829427354</v>
      </c>
      <c r="V73" s="24">
        <v>6.7708612928211398E-2</v>
      </c>
      <c r="W73" s="25">
        <v>7.5060635548162447E-2</v>
      </c>
      <c r="X73" s="24">
        <v>0.12697179594875752</v>
      </c>
      <c r="Y73" s="24">
        <v>4.3568517610681257E-2</v>
      </c>
      <c r="Z73" s="24">
        <v>7.2846070137425611E-2</v>
      </c>
      <c r="AA73" s="25">
        <v>6.2979400498702987E-2</v>
      </c>
      <c r="AB73" s="25">
        <v>6.4291876580796936E-2</v>
      </c>
      <c r="AC73" s="51">
        <v>8.5551709174879864E-2</v>
      </c>
      <c r="AD73" s="51">
        <v>6.2449378858979054E-2</v>
      </c>
      <c r="AE73" s="51">
        <v>6.9621804023831002E-2</v>
      </c>
      <c r="AF73" s="51">
        <v>-2.7185236706299132E-2</v>
      </c>
      <c r="AG73" s="51">
        <v>-3.1279335700694522E-2</v>
      </c>
      <c r="AH73" s="51">
        <v>-3.3623914429784074E-2</v>
      </c>
      <c r="AI73" s="51">
        <v>7.0053968395561883E-2</v>
      </c>
      <c r="AJ73" s="51">
        <v>7.385287528914275E-2</v>
      </c>
      <c r="AK73" s="51">
        <v>-0.11962652623389591</v>
      </c>
      <c r="AL73" s="51">
        <v>6.422727545221929E-2</v>
      </c>
      <c r="AM73" s="51">
        <v>6.965291749381386E-2</v>
      </c>
      <c r="AN73" s="51">
        <v>5.3781328057350475E-2</v>
      </c>
    </row>
    <row r="74" spans="1:40" x14ac:dyDescent="0.25">
      <c r="A74" s="1">
        <f t="shared" si="1"/>
        <v>43252</v>
      </c>
      <c r="B74" s="24">
        <v>0.11684127290108615</v>
      </c>
      <c r="C74" s="24">
        <v>0.10766520855544526</v>
      </c>
      <c r="D74" s="24">
        <v>0.30311200440794384</v>
      </c>
      <c r="E74" s="24">
        <v>0.30382428190428645</v>
      </c>
      <c r="F74" s="24">
        <v>0.24322821624087587</v>
      </c>
      <c r="G74" s="24">
        <v>0.13430147069870291</v>
      </c>
      <c r="H74" s="24">
        <v>8.1600421506756504E-2</v>
      </c>
      <c r="I74" s="24">
        <v>7.1124206142328061E-2</v>
      </c>
      <c r="J74" s="24">
        <v>9.6751621211766725E-2</v>
      </c>
      <c r="K74" s="24">
        <v>1.7162226099299183E-2</v>
      </c>
      <c r="L74" s="24">
        <v>5.5960437272253971E-2</v>
      </c>
      <c r="M74" s="24">
        <v>1.8041838935208609E-2</v>
      </c>
      <c r="N74" s="24">
        <v>0.22340169073213612</v>
      </c>
      <c r="O74" s="24">
        <v>0.10788557963668244</v>
      </c>
      <c r="P74" s="24">
        <v>1.1645747058647515E-2</v>
      </c>
      <c r="Q74" s="24">
        <v>5.7546631138180482E-2</v>
      </c>
      <c r="R74" s="24">
        <v>0.14031402034497997</v>
      </c>
      <c r="S74" s="24">
        <v>0.22206065641877859</v>
      </c>
      <c r="T74" s="24">
        <v>6.317229267633695E-2</v>
      </c>
      <c r="U74" s="24">
        <v>0.18859086600122676</v>
      </c>
      <c r="V74" s="24">
        <v>0.20443711354450933</v>
      </c>
      <c r="W74" s="25">
        <v>5.1888009078950859E-2</v>
      </c>
      <c r="X74" s="24">
        <v>6.6599895727163849E-2</v>
      </c>
      <c r="Y74" s="24">
        <v>4.9185560115796223E-2</v>
      </c>
      <c r="Z74" s="24">
        <v>7.3333664366336038E-2</v>
      </c>
      <c r="AA74" s="25">
        <v>5.9181854030145642E-2</v>
      </c>
      <c r="AB74" s="25">
        <v>0.16998457170423675</v>
      </c>
      <c r="AC74" s="51">
        <v>6.6349501243669673E-2</v>
      </c>
      <c r="AD74" s="51">
        <v>0.1073543922758895</v>
      </c>
      <c r="AE74" s="51">
        <v>7.8923349547555643E-2</v>
      </c>
      <c r="AF74" s="51">
        <v>-1.8879567229874383E-2</v>
      </c>
      <c r="AG74" s="51">
        <v>-2.5159103311265474E-2</v>
      </c>
      <c r="AH74" s="51">
        <v>-2.3726858214831559E-2</v>
      </c>
      <c r="AI74" s="51">
        <v>7.5861500114703606E-2</v>
      </c>
      <c r="AJ74" s="51">
        <v>9.6965304361458005E-2</v>
      </c>
      <c r="AK74" s="51">
        <v>-0.24252955633390438</v>
      </c>
      <c r="AL74" s="51">
        <v>0.10286600316918615</v>
      </c>
      <c r="AM74" s="51">
        <v>9.1168233163833268E-2</v>
      </c>
      <c r="AN74" s="51">
        <v>6.3246304313458124E-2</v>
      </c>
    </row>
    <row r="75" spans="1:40" x14ac:dyDescent="0.25">
      <c r="A75" s="1">
        <f t="shared" si="1"/>
        <v>43344</v>
      </c>
      <c r="B75" s="24">
        <v>0.12108183785946025</v>
      </c>
      <c r="C75" s="24">
        <v>0.10582501121515708</v>
      </c>
      <c r="D75" s="24">
        <v>0.39782084526759842</v>
      </c>
      <c r="E75" s="24">
        <v>0.39641811931691806</v>
      </c>
      <c r="F75" s="24">
        <v>0.53001927163117046</v>
      </c>
      <c r="G75" s="24">
        <v>0.1357159448592391</v>
      </c>
      <c r="H75" s="24">
        <v>7.2777055875255181E-2</v>
      </c>
      <c r="I75" s="24">
        <v>5.7928996966760238E-2</v>
      </c>
      <c r="J75" s="24">
        <v>9.402280036756272E-2</v>
      </c>
      <c r="K75" s="24">
        <v>6.3408085342879783E-3</v>
      </c>
      <c r="L75" s="24">
        <v>7.5629022820362879E-2</v>
      </c>
      <c r="M75" s="24">
        <v>1.9694585339826265E-2</v>
      </c>
      <c r="N75" s="24">
        <v>0.24627380010138133</v>
      </c>
      <c r="O75" s="24">
        <v>0.10591177398278728</v>
      </c>
      <c r="P75" s="24">
        <v>3.4137197803605357E-2</v>
      </c>
      <c r="Q75" s="24">
        <v>5.5262841110071959E-2</v>
      </c>
      <c r="R75" s="24">
        <v>4.2907275144544288E-2</v>
      </c>
      <c r="S75" s="24">
        <v>0.13461928934010148</v>
      </c>
      <c r="T75" s="24">
        <v>0.10939629387090477</v>
      </c>
      <c r="U75" s="24">
        <v>0.18607655679007795</v>
      </c>
      <c r="V75" s="24">
        <v>0.10744121104072835</v>
      </c>
      <c r="W75" s="25">
        <v>4.2178462502558522E-2</v>
      </c>
      <c r="X75" s="24">
        <v>8.4706307913693824E-2</v>
      </c>
      <c r="Y75" s="24">
        <v>4.4280380232928351E-2</v>
      </c>
      <c r="Z75" s="24">
        <v>6.5391528829392254E-2</v>
      </c>
      <c r="AA75" s="25">
        <v>3.8804962940265142E-2</v>
      </c>
      <c r="AB75" s="25">
        <v>0.14886472015625229</v>
      </c>
      <c r="AC75" s="51">
        <v>5.6137788260507193E-2</v>
      </c>
      <c r="AD75" s="51">
        <v>0.11466150562358357</v>
      </c>
      <c r="AE75" s="51">
        <v>9.161066454679001E-2</v>
      </c>
      <c r="AF75" s="51">
        <v>-5.3806719272617709E-3</v>
      </c>
      <c r="AG75" s="51">
        <v>-1.1667202090471118E-2</v>
      </c>
      <c r="AH75" s="51">
        <v>-8.5003468422167883E-3</v>
      </c>
      <c r="AI75" s="51">
        <v>9.4471998955290015E-2</v>
      </c>
      <c r="AJ75" s="51">
        <v>0.10664074091155684</v>
      </c>
      <c r="AK75" s="51">
        <v>-0.10960616905284837</v>
      </c>
      <c r="AL75" s="51">
        <v>0.11107057025824529</v>
      </c>
      <c r="AM75" s="51">
        <v>0.10288093578754887</v>
      </c>
      <c r="AN75" s="51">
        <v>6.5414814126553367E-2</v>
      </c>
    </row>
    <row r="76" spans="1:40" x14ac:dyDescent="0.25">
      <c r="A76" s="1">
        <f t="shared" si="1"/>
        <v>43435</v>
      </c>
      <c r="B76" s="24">
        <v>7.9400047945337615E-2</v>
      </c>
      <c r="C76" s="24">
        <v>1.1969386474844246E-2</v>
      </c>
      <c r="D76" s="24">
        <v>0.15837939058596229</v>
      </c>
      <c r="E76" s="24">
        <v>0.15664399689989805</v>
      </c>
      <c r="F76" s="24">
        <v>0.32812025089110564</v>
      </c>
      <c r="G76" s="24">
        <v>-0.10093748889375653</v>
      </c>
      <c r="H76" s="24">
        <v>6.7583714639063874E-2</v>
      </c>
      <c r="I76" s="24">
        <v>6.7115281716332964E-2</v>
      </c>
      <c r="J76" s="24">
        <v>6.826721432685523E-2</v>
      </c>
      <c r="K76" s="24">
        <v>4.1406784435234156E-2</v>
      </c>
      <c r="L76" s="24">
        <v>6.4977878025505476E-2</v>
      </c>
      <c r="M76" s="24">
        <v>5.8419314898885633E-2</v>
      </c>
      <c r="N76" s="24">
        <v>-0.32097577226053442</v>
      </c>
      <c r="O76" s="24">
        <v>8.0397192562754016E-2</v>
      </c>
      <c r="P76" s="24">
        <v>5.0811145615910602E-2</v>
      </c>
      <c r="Q76" s="24">
        <v>0.11497089872087773</v>
      </c>
      <c r="R76" s="24">
        <v>7.030131221322744E-2</v>
      </c>
      <c r="S76" s="24">
        <v>1.3738483917892452E-2</v>
      </c>
      <c r="T76" s="24">
        <v>1.2363702723664494E-2</v>
      </c>
      <c r="U76" s="24">
        <v>8.6393547017618255E-2</v>
      </c>
      <c r="V76" s="24">
        <v>0.10826570741351382</v>
      </c>
      <c r="W76" s="25">
        <v>6.6436942126052889E-2</v>
      </c>
      <c r="X76" s="24">
        <v>8.7106770520397614E-2</v>
      </c>
      <c r="Y76" s="24">
        <v>1.951165718857184E-2</v>
      </c>
      <c r="Z76" s="24">
        <v>5.4955374500773591E-2</v>
      </c>
      <c r="AA76" s="25">
        <v>4.7446438934688473E-3</v>
      </c>
      <c r="AB76" s="25">
        <v>-1.8104227064548173E-3</v>
      </c>
      <c r="AC76" s="51">
        <v>9.0583680478952822E-2</v>
      </c>
      <c r="AD76" s="51">
        <v>3.6503458907866548E-2</v>
      </c>
      <c r="AE76" s="51">
        <v>0.11131707992965434</v>
      </c>
      <c r="AF76" s="51">
        <v>-4.2634296365565816E-2</v>
      </c>
      <c r="AG76" s="51">
        <v>-5.2230816465679286E-2</v>
      </c>
      <c r="AH76" s="51">
        <v>-4.3976269167699145E-2</v>
      </c>
      <c r="AI76" s="51">
        <v>0.12437204706955307</v>
      </c>
      <c r="AJ76" s="51">
        <v>4.527281533009897E-2</v>
      </c>
      <c r="AK76" s="51">
        <v>-0.13788054928952154</v>
      </c>
      <c r="AL76" s="51">
        <v>9.9120293112569424E-2</v>
      </c>
      <c r="AM76" s="51">
        <v>4.5171658120489511E-2</v>
      </c>
      <c r="AN76" s="51">
        <v>2.8484644026808947E-2</v>
      </c>
    </row>
    <row r="77" spans="1:40" x14ac:dyDescent="0.25">
      <c r="A77" s="1">
        <f t="shared" si="1"/>
        <v>43525</v>
      </c>
      <c r="B77" s="24">
        <v>6.4970355249514E-2</v>
      </c>
      <c r="C77" s="24">
        <v>-5.7957377119698728E-2</v>
      </c>
      <c r="D77" s="24">
        <v>5.4537155928127357E-2</v>
      </c>
      <c r="E77" s="24">
        <v>5.3684885922416825E-2</v>
      </c>
      <c r="F77" s="24">
        <v>0.13549279599081232</v>
      </c>
      <c r="G77" s="24">
        <v>-0.18384572706916325</v>
      </c>
      <c r="H77" s="24">
        <v>3.5747481395230984E-2</v>
      </c>
      <c r="I77" s="24">
        <v>5.5628871634533228E-2</v>
      </c>
      <c r="J77" s="24">
        <v>7.4084551868027759E-3</v>
      </c>
      <c r="K77" s="24">
        <v>0.11368098383388681</v>
      </c>
      <c r="L77" s="24">
        <v>4.7591265210868317E-2</v>
      </c>
      <c r="M77" s="24">
        <v>7.2235005988185108E-2</v>
      </c>
      <c r="N77" s="24">
        <v>-0.58920605300755158</v>
      </c>
      <c r="O77" s="24">
        <v>1.7535044755953466E-2</v>
      </c>
      <c r="P77" s="24">
        <v>3.4621625733168848E-2</v>
      </c>
      <c r="Q77" s="24">
        <v>0.16560863639624124</v>
      </c>
      <c r="R77" s="24">
        <v>-2.0964671195430329E-3</v>
      </c>
      <c r="S77" s="24">
        <v>0.10534846029173428</v>
      </c>
      <c r="T77" s="24">
        <v>5.9020484230143611E-2</v>
      </c>
      <c r="U77" s="24">
        <v>6.0917646313254581E-2</v>
      </c>
      <c r="V77" s="24">
        <v>-1.2267823538706923E-2</v>
      </c>
      <c r="W77" s="25">
        <v>8.3367497641427812E-2</v>
      </c>
      <c r="X77" s="24">
        <v>6.3181387676360279E-2</v>
      </c>
      <c r="Y77" s="24">
        <v>0.32096329128682832</v>
      </c>
      <c r="Z77" s="24">
        <v>4.78529856924228E-2</v>
      </c>
      <c r="AA77" s="25">
        <v>1.9864803269443287E-2</v>
      </c>
      <c r="AB77" s="25">
        <v>0.15474273636217739</v>
      </c>
      <c r="AC77" s="51">
        <v>4.389273240087932E-2</v>
      </c>
      <c r="AD77" s="51">
        <v>-2.3330878902810492E-2</v>
      </c>
      <c r="AE77" s="51">
        <v>0.11994319334550618</v>
      </c>
      <c r="AF77" s="51">
        <v>1.0488437675075608</v>
      </c>
      <c r="AG77" s="51">
        <v>1.1483735293478023</v>
      </c>
      <c r="AH77" s="51">
        <v>1.0164065095406065</v>
      </c>
      <c r="AI77" s="51">
        <v>0.13713129827142345</v>
      </c>
      <c r="AJ77" s="51">
        <v>0.18522727858908516</v>
      </c>
      <c r="AK77" s="51">
        <v>-1.3530289793799111E-2</v>
      </c>
      <c r="AL77" s="51">
        <v>0.11231036517212023</v>
      </c>
      <c r="AM77" s="51">
        <v>0.17856389319914889</v>
      </c>
      <c r="AN77" s="51">
        <v>0.19726807243503219</v>
      </c>
    </row>
    <row r="78" spans="1:40" x14ac:dyDescent="0.25">
      <c r="A78" s="1">
        <f t="shared" si="1"/>
        <v>43617</v>
      </c>
      <c r="B78" s="24">
        <v>3.2119281696143975E-2</v>
      </c>
      <c r="C78" s="24">
        <v>-7.6229052042999457E-2</v>
      </c>
      <c r="D78" s="24">
        <v>-0.17661516208235872</v>
      </c>
      <c r="E78" s="24">
        <v>-0.17786236330464988</v>
      </c>
      <c r="F78" s="24">
        <v>-6.6647554612694226E-2</v>
      </c>
      <c r="G78" s="24">
        <v>-6.4943255745405493E-2</v>
      </c>
      <c r="H78" s="24">
        <v>3.4653576771303651E-2</v>
      </c>
      <c r="I78" s="24">
        <v>5.8175327795702447E-2</v>
      </c>
      <c r="J78" s="24">
        <v>1.4301976290715945E-3</v>
      </c>
      <c r="K78" s="24">
        <v>0.11266484724488413</v>
      </c>
      <c r="L78" s="24">
        <v>4.6969572481034172E-2</v>
      </c>
      <c r="M78" s="24">
        <v>8.0832203355528209E-2</v>
      </c>
      <c r="N78" s="24">
        <v>-0.21381175606904668</v>
      </c>
      <c r="O78" s="24">
        <v>-1.4199920035283364E-2</v>
      </c>
      <c r="P78" s="24">
        <v>2.9541729329660926E-2</v>
      </c>
      <c r="Q78" s="24">
        <v>0.17994726754074164</v>
      </c>
      <c r="R78" s="24">
        <v>4.0441862026270092E-2</v>
      </c>
      <c r="S78" s="24">
        <v>0.29763725990141099</v>
      </c>
      <c r="T78" s="24">
        <v>6.6010165184243963E-2</v>
      </c>
      <c r="U78" s="24">
        <v>5.4327938071780268E-2</v>
      </c>
      <c r="V78" s="24">
        <v>1.2153238354042806E-2</v>
      </c>
      <c r="W78" s="25">
        <v>0.10681722051602716</v>
      </c>
      <c r="X78" s="24">
        <v>7.0406253618179981E-2</v>
      </c>
      <c r="Y78" s="24">
        <v>4.0622981846966333E-2</v>
      </c>
      <c r="Z78" s="24">
        <v>4.3345931905313106E-2</v>
      </c>
      <c r="AA78" s="25">
        <v>7.8853672147869425E-3</v>
      </c>
      <c r="AB78" s="25">
        <v>6.8576213806643693E-3</v>
      </c>
      <c r="AC78" s="51">
        <v>5.9962743766025062E-2</v>
      </c>
      <c r="AD78" s="51">
        <v>-4.2376198312802593E-2</v>
      </c>
      <c r="AE78" s="51">
        <v>0.12058194230872288</v>
      </c>
      <c r="AF78" s="51">
        <v>3.2226570133417676E-2</v>
      </c>
      <c r="AG78" s="51">
        <v>2.1499546166250827E-2</v>
      </c>
      <c r="AH78" s="51">
        <v>2.9195739674497734E-2</v>
      </c>
      <c r="AI78" s="51">
        <v>0.14990368673751986</v>
      </c>
      <c r="AJ78" s="51">
        <v>7.0866861218390476E-3</v>
      </c>
      <c r="AK78" s="51">
        <v>0.13047307986877965</v>
      </c>
      <c r="AL78" s="51">
        <v>5.5630899277243628E-3</v>
      </c>
      <c r="AM78" s="51">
        <v>8.5467559740730614E-3</v>
      </c>
      <c r="AN78" s="51">
        <v>3.8443527532452615E-2</v>
      </c>
    </row>
    <row r="79" spans="1:40" x14ac:dyDescent="0.25">
      <c r="A79" s="1">
        <f t="shared" si="1"/>
        <v>43709</v>
      </c>
      <c r="B79" s="24">
        <v>1.8819232799923036E-2</v>
      </c>
      <c r="C79" s="24">
        <v>-7.3873902848354711E-2</v>
      </c>
      <c r="D79" s="24">
        <v>-0.22500842127478127</v>
      </c>
      <c r="E79" s="24">
        <v>-0.22632644053419915</v>
      </c>
      <c r="F79" s="24">
        <v>-0.11160632582975372</v>
      </c>
      <c r="G79" s="24">
        <v>-0.10953307867350603</v>
      </c>
      <c r="H79" s="24">
        <v>4.1559205625963935E-2</v>
      </c>
      <c r="I79" s="24">
        <v>4.0673942484947601E-2</v>
      </c>
      <c r="J79" s="24">
        <v>4.2784117380719522E-2</v>
      </c>
      <c r="K79" s="24">
        <v>5.7797892064220813E-2</v>
      </c>
      <c r="L79" s="24">
        <v>5.7881136950904466E-2</v>
      </c>
      <c r="M79" s="24">
        <v>4.7795359558078232E-2</v>
      </c>
      <c r="N79" s="24">
        <v>-0.33799237308948149</v>
      </c>
      <c r="O79" s="24">
        <v>-2.4087844032024797E-2</v>
      </c>
      <c r="P79" s="24">
        <v>-1.5636031825332353E-2</v>
      </c>
      <c r="Q79" s="24">
        <v>0.12189257728521175</v>
      </c>
      <c r="R79" s="24">
        <v>9.1859801516420481E-2</v>
      </c>
      <c r="S79" s="24">
        <v>0.49749463135289917</v>
      </c>
      <c r="T79" s="24">
        <v>6.8265211703519402E-2</v>
      </c>
      <c r="U79" s="24">
        <v>6.880990912486018E-2</v>
      </c>
      <c r="V79" s="24">
        <v>4.6364691887425424E-2</v>
      </c>
      <c r="W79" s="25">
        <v>8.3931199522838451E-2</v>
      </c>
      <c r="X79" s="24">
        <v>0.10071501551816753</v>
      </c>
      <c r="Y79" s="24">
        <v>3.1589071463849594E-2</v>
      </c>
      <c r="Z79" s="24">
        <v>2.4451011819326185E-2</v>
      </c>
      <c r="AA79" s="25">
        <v>-1.285309326866646E-2</v>
      </c>
      <c r="AB79" s="25">
        <v>-5.0535926859478053E-2</v>
      </c>
      <c r="AC79" s="51">
        <v>3.9260075161274166E-2</v>
      </c>
      <c r="AD79" s="51">
        <v>-4.8254849902636399E-2</v>
      </c>
      <c r="AE79" s="51">
        <v>0.11261156019494734</v>
      </c>
      <c r="AF79" s="51">
        <v>4.9575153558044871E-2</v>
      </c>
      <c r="AG79" s="51">
        <v>4.1632990896389499E-2</v>
      </c>
      <c r="AH79" s="51">
        <v>4.8661599019202528E-2</v>
      </c>
      <c r="AI79" s="51">
        <v>0.14415324939054908</v>
      </c>
      <c r="AJ79" s="51">
        <v>-7.3001000356867074E-3</v>
      </c>
      <c r="AK79" s="51">
        <v>8.2213667695821391E-2</v>
      </c>
      <c r="AL79" s="51">
        <v>1.1448737801636355E-2</v>
      </c>
      <c r="AM79" s="51">
        <v>-4.9958600071318138E-3</v>
      </c>
      <c r="AN79" s="51">
        <v>3.1671990730703925E-2</v>
      </c>
    </row>
    <row r="80" spans="1:40" x14ac:dyDescent="0.25">
      <c r="A80" s="1">
        <f t="shared" si="1"/>
        <v>43800</v>
      </c>
      <c r="B80" s="24">
        <v>3.8426671431229575E-2</v>
      </c>
      <c r="C80" s="24">
        <v>-8.0656439588051576E-2</v>
      </c>
      <c r="D80" s="24">
        <v>-0.12654078467071783</v>
      </c>
      <c r="E80" s="24">
        <v>-0.12689756825506149</v>
      </c>
      <c r="F80" s="24">
        <v>-9.6149045063038452E-2</v>
      </c>
      <c r="G80" s="24">
        <v>4.2593491133127159E-2</v>
      </c>
      <c r="H80" s="24">
        <v>7.2080185748639725E-3</v>
      </c>
      <c r="I80" s="24">
        <v>-9.713593459487968E-3</v>
      </c>
      <c r="J80" s="24">
        <v>3.1872051004346424E-2</v>
      </c>
      <c r="K80" s="24">
        <v>-6.3025151046789407E-2</v>
      </c>
      <c r="L80" s="24">
        <v>7.7495383946996732E-2</v>
      </c>
      <c r="M80" s="24">
        <v>2.0016507119509086E-3</v>
      </c>
      <c r="N80" s="24">
        <v>0.11523508518973946</v>
      </c>
      <c r="O80" s="24">
        <v>-1.3985786273089107E-2</v>
      </c>
      <c r="P80" s="24">
        <v>-9.9155002361794642E-2</v>
      </c>
      <c r="Q80" s="24">
        <v>3.9786409800022238E-3</v>
      </c>
      <c r="R80" s="24">
        <v>0.1382824766195645</v>
      </c>
      <c r="S80" s="24">
        <v>0.3035714285714286</v>
      </c>
      <c r="T80" s="24">
        <v>-9.1197235992188763E-2</v>
      </c>
      <c r="U80" s="24">
        <v>-5.4288033186040141E-2</v>
      </c>
      <c r="V80" s="24">
        <v>9.514548100825615E-2</v>
      </c>
      <c r="W80" s="25">
        <v>5.2719098573971168E-2</v>
      </c>
      <c r="X80" s="24">
        <v>6.4787268416287125E-2</v>
      </c>
      <c r="Y80" s="24">
        <v>-0.22617779342361333</v>
      </c>
      <c r="Z80" s="24">
        <v>-6.6682083741982368E-3</v>
      </c>
      <c r="AA80" s="25">
        <v>-3.3269134815963164E-2</v>
      </c>
      <c r="AB80" s="25">
        <v>-5.7706189287850207E-2</v>
      </c>
      <c r="AC80" s="51">
        <v>-1.7746604952129985E-2</v>
      </c>
      <c r="AD80" s="51">
        <v>-6.8117784539510229E-2</v>
      </c>
      <c r="AE80" s="51">
        <v>9.3496215939872451E-2</v>
      </c>
      <c r="AF80" s="51">
        <v>-0.65029247277278901</v>
      </c>
      <c r="AG80" s="51">
        <v>-0.71591774562071597</v>
      </c>
      <c r="AH80" s="51">
        <v>-0.63341303396049731</v>
      </c>
      <c r="AI80" s="51">
        <v>0.11413404712175179</v>
      </c>
      <c r="AJ80" s="51">
        <v>-0.11964088851194243</v>
      </c>
      <c r="AK80" s="51">
        <v>0.55969155160378592</v>
      </c>
      <c r="AL80" s="51">
        <v>5.5721354635658304E-3</v>
      </c>
      <c r="AM80" s="51">
        <v>-0.10577480813389628</v>
      </c>
      <c r="AN80" s="51">
        <v>-0.1023272792737131</v>
      </c>
    </row>
    <row r="81" spans="1:40" x14ac:dyDescent="0.25">
      <c r="A81" s="1">
        <f t="shared" si="1"/>
        <v>43891</v>
      </c>
      <c r="B81" s="24">
        <v>1.8146396537877418E-2</v>
      </c>
      <c r="C81" s="24">
        <v>-1.2613494131125225E-2</v>
      </c>
      <c r="D81" s="24">
        <v>-0.39957697948395621</v>
      </c>
      <c r="E81" s="24">
        <v>-0.40411786542887129</v>
      </c>
      <c r="F81" s="24">
        <v>6.7811415304697142E-4</v>
      </c>
      <c r="G81" s="24">
        <v>9.4288415220378452E-2</v>
      </c>
      <c r="H81" s="24">
        <v>-7.566933475144566E-2</v>
      </c>
      <c r="I81" s="24">
        <v>-0.15925936564431076</v>
      </c>
      <c r="J81" s="24">
        <v>4.9183476863552622E-2</v>
      </c>
      <c r="K81" s="24">
        <v>-0.28295246770779403</v>
      </c>
      <c r="L81" s="24">
        <v>5.3809637467844285E-2</v>
      </c>
      <c r="M81" s="24">
        <v>-0.16160063252218226</v>
      </c>
      <c r="N81" s="24">
        <v>0.88531878843469447</v>
      </c>
      <c r="O81" s="24">
        <v>2.3652139273754758E-2</v>
      </c>
      <c r="P81" s="24">
        <v>-0.16754820554082928</v>
      </c>
      <c r="Q81" s="24">
        <v>-0.2213803289281373</v>
      </c>
      <c r="R81" s="24">
        <v>-0.21563256276632081</v>
      </c>
      <c r="S81" s="24">
        <v>-3.1991468941615531E-2</v>
      </c>
      <c r="T81" s="24">
        <v>-0.17107107704238367</v>
      </c>
      <c r="U81" s="24">
        <v>-4.2680286128160327E-2</v>
      </c>
      <c r="V81" s="24">
        <v>-0.19025145799095389</v>
      </c>
      <c r="W81" s="25">
        <v>2.0047325731428867E-2</v>
      </c>
      <c r="X81" s="24">
        <v>8.5824562455409925E-3</v>
      </c>
      <c r="Y81" s="24">
        <v>1.4610888616830797E-2</v>
      </c>
      <c r="Z81" s="24">
        <v>-5.4705084332380305E-2</v>
      </c>
      <c r="AA81" s="25">
        <v>-7.5692177820979145E-2</v>
      </c>
      <c r="AB81" s="25">
        <v>-0.32321851693016856</v>
      </c>
      <c r="AC81" s="51">
        <v>-8.2462607198355742E-2</v>
      </c>
      <c r="AD81" s="51">
        <v>-3.1565355558002661E-2</v>
      </c>
      <c r="AE81" s="51">
        <v>8.4938800526551006E-2</v>
      </c>
      <c r="AF81" s="51">
        <v>0.10909239700298334</v>
      </c>
      <c r="AG81" s="51">
        <v>0.11012994811347787</v>
      </c>
      <c r="AH81" s="51">
        <v>0.11315876482509046</v>
      </c>
      <c r="AI81" s="51">
        <v>4.0213118748369414E-2</v>
      </c>
      <c r="AJ81" s="51">
        <v>-3.2726331148176357E-2</v>
      </c>
      <c r="AK81" s="51">
        <v>5.2932001573374299E-2</v>
      </c>
      <c r="AL81" s="51">
        <v>-8.2725505064976335E-2</v>
      </c>
      <c r="AM81" s="51">
        <v>-3.3855922598551524E-2</v>
      </c>
      <c r="AN81" s="51">
        <v>1.4722542411478079E-2</v>
      </c>
    </row>
    <row r="82" spans="1:40" x14ac:dyDescent="0.25">
      <c r="A82" s="1">
        <f t="shared" si="1"/>
        <v>43983</v>
      </c>
      <c r="B82" s="24">
        <v>3.0536138988726869E-2</v>
      </c>
      <c r="C82" s="24">
        <v>-4.2324299794076925E-2</v>
      </c>
      <c r="D82" s="24">
        <v>-0.59982654479926456</v>
      </c>
      <c r="E82" s="24">
        <v>-0.60817352069861597</v>
      </c>
      <c r="F82" s="24">
        <v>4.8443969383116459E-2</v>
      </c>
      <c r="G82" s="24">
        <v>-0.264365240695285</v>
      </c>
      <c r="H82" s="24">
        <v>-0.10548257838706099</v>
      </c>
      <c r="I82" s="24">
        <v>-0.20532954813797955</v>
      </c>
      <c r="J82" s="24">
        <v>4.3537912918364619E-2</v>
      </c>
      <c r="K82" s="24">
        <v>-0.38307281290213013</v>
      </c>
      <c r="L82" s="24">
        <v>4.4705451501517057E-2</v>
      </c>
      <c r="M82" s="24">
        <v>-0.21532940111724863</v>
      </c>
      <c r="N82" s="24">
        <v>-0.57690279768800257</v>
      </c>
      <c r="O82" s="24">
        <v>4.9807243625659581E-2</v>
      </c>
      <c r="P82" s="24">
        <v>-0.21628253367745953</v>
      </c>
      <c r="Q82" s="24">
        <v>-0.26474177114792108</v>
      </c>
      <c r="R82" s="24">
        <v>-0.20974113025213104</v>
      </c>
      <c r="S82" s="24">
        <v>-8.0560649724914835E-2</v>
      </c>
      <c r="T82" s="24">
        <v>-0.37508194767268621</v>
      </c>
      <c r="U82" s="24">
        <v>-0.17186549785668725</v>
      </c>
      <c r="V82" s="24">
        <v>-0.17199852653651071</v>
      </c>
      <c r="W82" s="25">
        <v>-1.0834299791422364E-2</v>
      </c>
      <c r="X82" s="24">
        <v>-0.14845565573419073</v>
      </c>
      <c r="Y82" s="24">
        <v>-0.14622415000143785</v>
      </c>
      <c r="Z82" s="24">
        <v>-0.12486986400256794</v>
      </c>
      <c r="AA82" s="25">
        <v>-7.7722752546950824E-2</v>
      </c>
      <c r="AB82" s="25">
        <v>-0.67206434615472388</v>
      </c>
      <c r="AC82" s="51">
        <v>-0.22006311264013978</v>
      </c>
      <c r="AD82" s="51">
        <v>-6.9095631279520342E-2</v>
      </c>
      <c r="AE82" s="51">
        <v>7.5579503110312585E-2</v>
      </c>
      <c r="AF82" s="51">
        <v>-0.21278094458923769</v>
      </c>
      <c r="AG82" s="51">
        <v>-0.25082654631663637</v>
      </c>
      <c r="AH82" s="51">
        <v>-0.18944037684199544</v>
      </c>
      <c r="AI82" s="51">
        <v>-1.0380118177499509E-2</v>
      </c>
      <c r="AJ82" s="51">
        <v>-0.18681439924193954</v>
      </c>
      <c r="AK82" s="51">
        <v>5.2991563804054564E-2</v>
      </c>
      <c r="AL82" s="51">
        <v>-0.11034836132168868</v>
      </c>
      <c r="AM82" s="51">
        <v>-0.17971656615801723</v>
      </c>
      <c r="AN82" s="51">
        <v>-0.12593225620723503</v>
      </c>
    </row>
    <row r="83" spans="1:40" x14ac:dyDescent="0.25">
      <c r="A83" s="1">
        <f t="shared" si="1"/>
        <v>44075</v>
      </c>
      <c r="B83" s="24">
        <v>-7.2301676615977861E-3</v>
      </c>
      <c r="C83" s="24">
        <v>-5.6920874302103242E-3</v>
      </c>
      <c r="D83" s="24">
        <v>-0.45316382310415959</v>
      </c>
      <c r="E83" s="24">
        <v>-0.46089326692625843</v>
      </c>
      <c r="F83" s="24">
        <v>0.12589370107365294</v>
      </c>
      <c r="G83" s="24">
        <v>-8.6115444949559139E-2</v>
      </c>
      <c r="H83" s="24">
        <v>-0.1290109188063393</v>
      </c>
      <c r="I83" s="24">
        <v>-0.21610450585814267</v>
      </c>
      <c r="J83" s="24">
        <v>-8.7460254532804038E-3</v>
      </c>
      <c r="K83" s="24">
        <v>-0.41597393615578637</v>
      </c>
      <c r="L83" s="24">
        <v>4.2526932867096745E-2</v>
      </c>
      <c r="M83" s="24">
        <v>-0.24424595272862892</v>
      </c>
      <c r="N83" s="24">
        <v>1.593125916770477E-2</v>
      </c>
      <c r="O83" s="24">
        <v>6.6440383595729902E-2</v>
      </c>
      <c r="P83" s="24">
        <v>-0.22012080030200076</v>
      </c>
      <c r="Q83" s="24">
        <v>-0.23324625348058692</v>
      </c>
      <c r="R83" s="24">
        <v>-0.26727397381157647</v>
      </c>
      <c r="S83" s="24">
        <v>-0.19299713193116641</v>
      </c>
      <c r="T83" s="24">
        <v>-0.31440689356491092</v>
      </c>
      <c r="U83" s="24">
        <v>-0.14213959176542523</v>
      </c>
      <c r="V83" s="24">
        <v>-0.23197364121555386</v>
      </c>
      <c r="W83" s="25">
        <v>5.7319505072637167E-3</v>
      </c>
      <c r="X83" s="24">
        <v>1.6225134946380226E-2</v>
      </c>
      <c r="Y83" s="24">
        <v>-0.14074269335911638</v>
      </c>
      <c r="Z83" s="24">
        <v>-4.8155971102525452E-2</v>
      </c>
      <c r="AA83" s="25">
        <v>-5.6864704454533732E-2</v>
      </c>
      <c r="AB83" s="25">
        <v>-0.45891670399646711</v>
      </c>
      <c r="AC83" s="51">
        <v>-6.9376861235525666E-2</v>
      </c>
      <c r="AD83" s="51">
        <v>-3.5409496521679573E-2</v>
      </c>
      <c r="AE83" s="51">
        <v>7.6042921656826579E-2</v>
      </c>
      <c r="AF83" s="51">
        <v>-0.36845303920416239</v>
      </c>
      <c r="AG83" s="51">
        <v>-0.41802587481934195</v>
      </c>
      <c r="AH83" s="51">
        <v>-0.34536006450432477</v>
      </c>
      <c r="AI83" s="51">
        <v>-6.3388201615333095E-5</v>
      </c>
      <c r="AJ83" s="51">
        <v>-0.13586058257924294</v>
      </c>
      <c r="AK83" s="51">
        <v>-0.11646826419684564</v>
      </c>
      <c r="AL83" s="51">
        <v>-5.0304851323449862E-2</v>
      </c>
      <c r="AM83" s="51">
        <v>-0.13103960185813701</v>
      </c>
      <c r="AN83" s="51">
        <v>-9.0710671530898068E-2</v>
      </c>
    </row>
    <row r="84" spans="1:40" x14ac:dyDescent="0.25">
      <c r="A84" s="1">
        <f t="shared" si="1"/>
        <v>44166</v>
      </c>
      <c r="B84" s="24">
        <v>3.0665606743367491E-3</v>
      </c>
      <c r="C84" s="24">
        <v>5.6856340641764369E-3</v>
      </c>
      <c r="D84" s="24">
        <v>-0.33934510546776331</v>
      </c>
      <c r="E84" s="24">
        <v>-0.3431235300823049</v>
      </c>
      <c r="F84" s="24">
        <v>-2.8438582559357384E-2</v>
      </c>
      <c r="G84" s="24">
        <v>-0.14813753815981878</v>
      </c>
      <c r="H84" s="24">
        <v>-7.3157380149743378E-2</v>
      </c>
      <c r="I84" s="24">
        <v>-0.13653265437493767</v>
      </c>
      <c r="J84" s="24">
        <v>1.5492299146871114E-2</v>
      </c>
      <c r="K84" s="24">
        <v>-0.36848143121714938</v>
      </c>
      <c r="L84" s="24">
        <v>3.06940174386372E-2</v>
      </c>
      <c r="M84" s="24">
        <v>-0.22085081819420038</v>
      </c>
      <c r="N84" s="24">
        <v>-0.28715183526013599</v>
      </c>
      <c r="O84" s="24">
        <v>6.8547155324014897E-2</v>
      </c>
      <c r="P84" s="24">
        <v>-0.17312096373015184</v>
      </c>
      <c r="Q84" s="24">
        <v>-0.12518808754078337</v>
      </c>
      <c r="R84" s="24">
        <v>-0.1394507847217642</v>
      </c>
      <c r="S84" s="24">
        <v>-4.0362035225048887E-2</v>
      </c>
      <c r="T84" s="24">
        <v>-1.4744045356121505E-2</v>
      </c>
      <c r="U84" s="24">
        <v>0.10660818155811969</v>
      </c>
      <c r="V84" s="24">
        <v>-0.12344459341848379</v>
      </c>
      <c r="W84" s="25">
        <v>3.7159283421631439E-2</v>
      </c>
      <c r="X84" s="24">
        <v>1.5575570130235139E-3</v>
      </c>
      <c r="Y84" s="24">
        <v>6.5392944291696731E-2</v>
      </c>
      <c r="Z84" s="24">
        <v>-4.7075988529837964E-2</v>
      </c>
      <c r="AA84" s="25">
        <v>-3.174681511373445E-2</v>
      </c>
      <c r="AB84" s="25">
        <v>-0.97165490985730896</v>
      </c>
      <c r="AC84" s="51">
        <v>-4.7915741253737432E-2</v>
      </c>
      <c r="AD84" s="51">
        <v>-1.4164023711870866E-2</v>
      </c>
      <c r="AE84" s="51">
        <v>9.0674678189392788E-2</v>
      </c>
      <c r="AF84" s="51">
        <v>0.68262965030241429</v>
      </c>
      <c r="AG84" s="51">
        <v>0.88754630215019104</v>
      </c>
      <c r="AH84" s="51">
        <v>0.66364372143590566</v>
      </c>
      <c r="AI84" s="51">
        <v>1.9116858954265625E-2</v>
      </c>
      <c r="AJ84" s="51">
        <v>-3.1746176730560016E-2</v>
      </c>
      <c r="AK84" s="51">
        <v>-0.30617392100953889</v>
      </c>
      <c r="AL84" s="51">
        <v>-9.71148782479474E-2</v>
      </c>
      <c r="AM84" s="51">
        <v>-4.080834738786876E-2</v>
      </c>
      <c r="AN84" s="51">
        <v>7.4172890005479442E-3</v>
      </c>
    </row>
    <row r="85" spans="1:40" x14ac:dyDescent="0.25">
      <c r="A85" s="1">
        <f t="shared" si="1"/>
        <v>44256</v>
      </c>
      <c r="B85" s="24">
        <v>3.0799888224259719E-2</v>
      </c>
      <c r="C85" s="24">
        <v>-1.5015079493540529E-2</v>
      </c>
      <c r="D85" s="24">
        <v>0.25870611618404826</v>
      </c>
      <c r="E85" s="24">
        <v>0.26180646321761292</v>
      </c>
      <c r="F85" s="24">
        <v>9.5974272095560753E-2</v>
      </c>
      <c r="G85" s="24">
        <v>0.16525285884295626</v>
      </c>
      <c r="H85" s="24">
        <v>-7.0215248359261073E-3</v>
      </c>
      <c r="I85" s="24">
        <v>-1.696606398962619E-2</v>
      </c>
      <c r="J85" s="24">
        <v>4.8810000659846864E-3</v>
      </c>
      <c r="K85" s="24">
        <v>-0.13675912809029844</v>
      </c>
      <c r="L85" s="24">
        <v>9.1025770082544977E-2</v>
      </c>
      <c r="M85" s="24">
        <v>-8.4440419432822544E-2</v>
      </c>
      <c r="N85" s="24">
        <v>0.55836409480195526</v>
      </c>
      <c r="O85" s="24">
        <v>6.5182230545657305E-3</v>
      </c>
      <c r="P85" s="24">
        <v>-0.10511983906974465</v>
      </c>
      <c r="Q85" s="24">
        <v>5.3734970707080665E-2</v>
      </c>
      <c r="R85" s="24">
        <v>0.13727178943582663</v>
      </c>
      <c r="S85" s="24">
        <v>0.16111264114568979</v>
      </c>
      <c r="T85" s="24">
        <v>5.0375114693346212E-4</v>
      </c>
      <c r="U85" s="24">
        <v>5.7904999610014718E-2</v>
      </c>
      <c r="V85" s="24">
        <v>9.613398590094735E-2</v>
      </c>
      <c r="W85" s="25">
        <v>1.4562325681184207E-2</v>
      </c>
      <c r="X85" s="24">
        <v>5.028346062096678E-2</v>
      </c>
      <c r="Y85" s="24">
        <v>2.4342025259928235E-2</v>
      </c>
      <c r="Z85" s="24">
        <v>2.3486255535747347E-2</v>
      </c>
      <c r="AA85" s="25">
        <v>4.1719547333298301E-2</v>
      </c>
      <c r="AB85" s="25">
        <v>-7.9888134663209209E-2</v>
      </c>
      <c r="AC85" s="51">
        <v>-1.6376550454873628E-2</v>
      </c>
      <c r="AD85" s="51">
        <v>-9.7030358693682706E-3</v>
      </c>
      <c r="AE85" s="51">
        <v>9.4013014892615931E-2</v>
      </c>
      <c r="AF85" s="51">
        <v>2.5336216669335165E-2</v>
      </c>
      <c r="AG85" s="51">
        <v>2.1528108636729382E-2</v>
      </c>
      <c r="AH85" s="51">
        <v>2.7324245513254963E-2</v>
      </c>
      <c r="AI85" s="51">
        <v>8.7430481998387322E-2</v>
      </c>
      <c r="AJ85" s="51">
        <v>5.5142265415657032E-2</v>
      </c>
      <c r="AK85" s="51">
        <v>-0.10439549168159312</v>
      </c>
      <c r="AL85" s="51">
        <v>5.2185823710255708E-2</v>
      </c>
      <c r="AM85" s="51">
        <v>5.2702801048833958E-2</v>
      </c>
      <c r="AN85" s="51">
        <v>3.6511637581958967E-2</v>
      </c>
    </row>
    <row r="86" spans="1:40" x14ac:dyDescent="0.25">
      <c r="A86" s="1">
        <f t="shared" si="1"/>
        <v>44348</v>
      </c>
      <c r="B86" s="24">
        <v>3.1567986695666406E-2</v>
      </c>
      <c r="C86" s="24">
        <v>-1.9536375201973821E-2</v>
      </c>
      <c r="D86" s="24">
        <v>2.0695904704997554</v>
      </c>
      <c r="E86" s="24">
        <v>2.1336979293042866</v>
      </c>
      <c r="F86" s="24">
        <v>0.2088567544764226</v>
      </c>
      <c r="G86" s="24">
        <v>0.68554268073662095</v>
      </c>
      <c r="H86" s="24">
        <v>0.1404625078223154</v>
      </c>
      <c r="I86" s="24">
        <v>0.154155305565987</v>
      </c>
      <c r="J86" s="24">
        <v>0.12489990879290236</v>
      </c>
      <c r="K86" s="24">
        <v>0.12941257438112785</v>
      </c>
      <c r="L86" s="24">
        <v>0.14104714926008466</v>
      </c>
      <c r="M86" s="24">
        <v>6.6817270673582563E-3</v>
      </c>
      <c r="N86" s="24">
        <v>2.9524550874410993</v>
      </c>
      <c r="O86" s="24">
        <v>0.2820642519735217</v>
      </c>
      <c r="P86" s="24">
        <v>-2.611008434599138E-2</v>
      </c>
      <c r="Q86" s="24">
        <v>0.19474120941811024</v>
      </c>
      <c r="R86" s="24">
        <v>0.24426220585300373</v>
      </c>
      <c r="S86" s="24">
        <v>0.27226100584128798</v>
      </c>
      <c r="T86" s="24">
        <v>0.31042868723475281</v>
      </c>
      <c r="U86" s="24">
        <v>0.22689497062616426</v>
      </c>
      <c r="V86" s="24">
        <v>0.16069778583895156</v>
      </c>
      <c r="W86" s="25">
        <v>3.1193729003359483E-2</v>
      </c>
      <c r="X86" s="24">
        <v>0.23540218502049082</v>
      </c>
      <c r="Y86" s="24">
        <v>0.11000701157413117</v>
      </c>
      <c r="Z86" s="24">
        <v>0.1103680931447717</v>
      </c>
      <c r="AA86" s="25">
        <v>0.10652083893168052</v>
      </c>
      <c r="AB86" s="25">
        <v>7.8978094288122414E-2</v>
      </c>
      <c r="AC86" s="51">
        <v>0.14407768461851367</v>
      </c>
      <c r="AD86" s="51">
        <v>3.71807419319925E-3</v>
      </c>
      <c r="AE86" s="51">
        <v>0.10625874635352428</v>
      </c>
      <c r="AF86" s="51">
        <v>0.10875591824835018</v>
      </c>
      <c r="AG86" s="51">
        <v>0.10588436924899569</v>
      </c>
      <c r="AH86" s="51">
        <v>0.10337855309904076</v>
      </c>
      <c r="AI86" s="51">
        <v>0.1487260355303659</v>
      </c>
      <c r="AJ86" s="51">
        <v>0.27277728467752116</v>
      </c>
      <c r="AK86" s="51">
        <v>-1.6899660678955986E-2</v>
      </c>
      <c r="AL86" s="51">
        <v>0.12254182714221407</v>
      </c>
      <c r="AM86" s="51">
        <v>0.25959304625334045</v>
      </c>
      <c r="AN86" s="51">
        <v>0.15350321851717386</v>
      </c>
    </row>
    <row r="87" spans="1:40" x14ac:dyDescent="0.25">
      <c r="A87" s="1">
        <f t="shared" si="1"/>
        <v>44440</v>
      </c>
      <c r="B87" s="24">
        <v>8.2698083917279286E-2</v>
      </c>
      <c r="C87" s="24">
        <v>-4.2584992975131075E-2</v>
      </c>
      <c r="D87" s="24">
        <v>1.3145142646306751</v>
      </c>
      <c r="E87" s="24">
        <v>1.3472547222318068</v>
      </c>
      <c r="F87" s="24">
        <v>0.14004800292753261</v>
      </c>
      <c r="G87" s="24">
        <v>0.52197351966971861</v>
      </c>
      <c r="H87" s="24">
        <v>0.14604526313325317</v>
      </c>
      <c r="I87" s="24">
        <v>0.19798009494101843</v>
      </c>
      <c r="J87" s="24">
        <v>8.9331998382097266E-2</v>
      </c>
      <c r="K87" s="24">
        <v>0.33357133320562582</v>
      </c>
      <c r="L87" s="24">
        <v>0.18467457518435393</v>
      </c>
      <c r="M87" s="24">
        <v>8.4998536238551248E-2</v>
      </c>
      <c r="N87" s="24">
        <v>1.2887007203238849</v>
      </c>
      <c r="O87" s="24">
        <v>0.20083621401754637</v>
      </c>
      <c r="P87" s="24">
        <v>2.884941187860024E-2</v>
      </c>
      <c r="Q87" s="24">
        <v>0.23403821240219913</v>
      </c>
      <c r="R87" s="24">
        <v>0.32099348730348432</v>
      </c>
      <c r="S87" s="24">
        <v>0.35673034207019128</v>
      </c>
      <c r="T87" s="24">
        <v>0.22989457175220007</v>
      </c>
      <c r="U87" s="24">
        <v>0.19072348658418625</v>
      </c>
      <c r="V87" s="24">
        <v>0.21997872717603251</v>
      </c>
      <c r="W87" s="25">
        <v>7.7444630775458156E-2</v>
      </c>
      <c r="X87" s="24">
        <v>7.5727956018432518E-2</v>
      </c>
      <c r="Y87" s="24">
        <v>0.14343226211096427</v>
      </c>
      <c r="Z87" s="24">
        <v>9.0634026405521428E-2</v>
      </c>
      <c r="AA87" s="25">
        <v>0.13207392266321394</v>
      </c>
      <c r="AB87" s="25">
        <v>0.3232571502280801</v>
      </c>
      <c r="AC87" s="51">
        <v>4.6329545528394744E-2</v>
      </c>
      <c r="AD87" s="51">
        <v>-1.1544208927748545E-2</v>
      </c>
      <c r="AE87" s="51">
        <v>0.11856464692670521</v>
      </c>
      <c r="AF87" s="51">
        <v>0.33914252674084455</v>
      </c>
      <c r="AG87" s="51">
        <v>0.38407373587766047</v>
      </c>
      <c r="AH87" s="51">
        <v>0.31977817086072235</v>
      </c>
      <c r="AI87" s="51">
        <v>0.14772432154987847</v>
      </c>
      <c r="AJ87" s="51">
        <v>0.24453058221820534</v>
      </c>
      <c r="AK87" s="51">
        <v>2.9635698900703167E-2</v>
      </c>
      <c r="AL87" s="51">
        <v>3.4466048714334896E-2</v>
      </c>
      <c r="AM87" s="51">
        <v>0.22889854246553476</v>
      </c>
      <c r="AN87" s="51">
        <v>0.14716043276683233</v>
      </c>
    </row>
    <row r="88" spans="1:40" x14ac:dyDescent="0.25">
      <c r="A88" s="1">
        <f t="shared" si="1"/>
        <v>44531</v>
      </c>
      <c r="B88" s="24">
        <v>7.6801270736861937E-2</v>
      </c>
      <c r="C88" s="24">
        <v>-2.1660091489279942E-2</v>
      </c>
      <c r="D88" s="24">
        <v>1.2894626368351205</v>
      </c>
      <c r="E88" s="24">
        <v>1.3037128012423058</v>
      </c>
      <c r="F88" s="24">
        <v>0.49668317183539079</v>
      </c>
      <c r="G88" s="24">
        <v>0.91733233029250205</v>
      </c>
      <c r="H88" s="24">
        <v>0.15152403173966844</v>
      </c>
      <c r="I88" s="24">
        <v>0.15864490760733685</v>
      </c>
      <c r="J88" s="24">
        <v>0.14305448797951925</v>
      </c>
      <c r="K88" s="24">
        <v>0.48612051053725147</v>
      </c>
      <c r="L88" s="24">
        <v>0.25334963325183368</v>
      </c>
      <c r="M88" s="24">
        <v>0.11454257887288777</v>
      </c>
      <c r="N88" s="24">
        <v>2.7633767434661562</v>
      </c>
      <c r="O88" s="24">
        <v>0.24443783393278662</v>
      </c>
      <c r="P88" s="24">
        <v>7.9933226379915734E-2</v>
      </c>
      <c r="Q88" s="24">
        <v>0.10596049046321521</v>
      </c>
      <c r="R88" s="24">
        <v>2.9415864077940501E-2</v>
      </c>
      <c r="S88" s="24">
        <v>-0.27147591129237825</v>
      </c>
      <c r="T88" s="24">
        <v>9.4267451809351366E-2</v>
      </c>
      <c r="U88" s="24">
        <v>7.6576188424529734E-2</v>
      </c>
      <c r="V88" s="24">
        <v>-7.7150140882864537E-4</v>
      </c>
      <c r="W88" s="25">
        <v>2.5223200755115638E-2</v>
      </c>
      <c r="X88" s="24">
        <v>0.15655893475259375</v>
      </c>
      <c r="Y88" s="24">
        <v>0.18714272861712367</v>
      </c>
      <c r="Z88" s="24">
        <v>0.16806328235102219</v>
      </c>
      <c r="AA88" s="25">
        <v>0.23659743912007491</v>
      </c>
      <c r="AB88" s="25">
        <v>29.849836482558139</v>
      </c>
      <c r="AC88" s="51">
        <v>5.9522890554871255E-2</v>
      </c>
      <c r="AD88" s="51">
        <v>2.0286339902308992E-3</v>
      </c>
      <c r="AE88" s="51">
        <v>0.12780206585994747</v>
      </c>
      <c r="AF88" s="51">
        <v>0.24644272537381973</v>
      </c>
      <c r="AG88" s="51">
        <v>0.26888832224676751</v>
      </c>
      <c r="AH88" s="51">
        <v>0.23600776071891216</v>
      </c>
      <c r="AI88" s="51">
        <v>0.14493648028130424</v>
      </c>
      <c r="AJ88" s="51">
        <v>0.33499635984705822</v>
      </c>
      <c r="AK88" s="51">
        <v>0.16863138292092872</v>
      </c>
      <c r="AL88" s="51">
        <v>7.1974307962052286E-2</v>
      </c>
      <c r="AM88" s="51">
        <v>0.31918270915814362</v>
      </c>
      <c r="AN88" s="51">
        <v>0.21639469890205443</v>
      </c>
    </row>
    <row r="89" spans="1:40" x14ac:dyDescent="0.25">
      <c r="A89" s="1">
        <f t="shared" si="1"/>
        <v>44621</v>
      </c>
      <c r="B89" s="24">
        <v>0.16754491267083194</v>
      </c>
      <c r="C89" s="24">
        <v>2.2048503689842125E-2</v>
      </c>
      <c r="D89" s="24">
        <v>0.93052829544270055</v>
      </c>
      <c r="E89" s="24">
        <v>0.93758772929276502</v>
      </c>
      <c r="F89" s="24">
        <v>0.50392471258947191</v>
      </c>
      <c r="G89" s="24">
        <v>0.89681315438674325</v>
      </c>
      <c r="H89" s="24">
        <v>0.26299080295627753</v>
      </c>
      <c r="I89" s="24">
        <v>0.22856680213109604</v>
      </c>
      <c r="J89" s="24">
        <v>0.30329679883025462</v>
      </c>
      <c r="K89" s="24">
        <v>0.48250160135095799</v>
      </c>
      <c r="L89" s="24">
        <v>0.18842986644522863</v>
      </c>
      <c r="M89" s="24">
        <v>-3.8601453481242998E-2</v>
      </c>
      <c r="N89" s="24">
        <v>1.8183934988196513</v>
      </c>
      <c r="O89" s="24">
        <v>0.31894756766988452</v>
      </c>
      <c r="P89" s="24">
        <v>0.14609353582981521</v>
      </c>
      <c r="Q89" s="24">
        <v>0.21467681749142131</v>
      </c>
      <c r="R89" s="24">
        <v>0.24627381140617333</v>
      </c>
      <c r="S89" s="24">
        <v>-0.16425521821631872</v>
      </c>
      <c r="T89" s="24">
        <v>7.5758393123662504E-2</v>
      </c>
      <c r="U89" s="24">
        <v>8.7677131102820827E-2</v>
      </c>
      <c r="V89" s="24">
        <v>0.22669179092249703</v>
      </c>
      <c r="W89" s="25">
        <v>7.4022186390350075E-2</v>
      </c>
      <c r="X89" s="24">
        <v>0.11460981378943269</v>
      </c>
      <c r="Y89" s="24">
        <v>-5.5654131341488444E-2</v>
      </c>
      <c r="Z89" s="24">
        <v>0.26114409293727925</v>
      </c>
      <c r="AA89" s="25">
        <v>0.59036363910999112</v>
      </c>
      <c r="AB89" s="25">
        <v>0.66739574977252225</v>
      </c>
      <c r="AC89" s="51">
        <v>6.8521522565341497E-2</v>
      </c>
      <c r="AD89" s="51">
        <v>3.7999369085173429E-2</v>
      </c>
      <c r="AE89" s="51">
        <v>0.15394504840876611</v>
      </c>
      <c r="AF89" s="51">
        <v>-0.42303077676311784</v>
      </c>
      <c r="AG89" s="51">
        <v>-0.45779278973696147</v>
      </c>
      <c r="AH89" s="51">
        <v>-0.41194712856373683</v>
      </c>
      <c r="AI89" s="51">
        <v>0.19040312004391846</v>
      </c>
      <c r="AJ89" s="51">
        <v>0.14283411942875435</v>
      </c>
      <c r="AK89" s="51">
        <v>1.829879880603924E-2</v>
      </c>
      <c r="AL89" s="51">
        <v>7.7226862820299891E-2</v>
      </c>
      <c r="AM89" s="51">
        <v>0.13847371394017216</v>
      </c>
      <c r="AN89" s="51">
        <v>6.2875920673023167E-2</v>
      </c>
    </row>
    <row r="90" spans="1:40" x14ac:dyDescent="0.25">
      <c r="A90" s="1">
        <f t="shared" si="1"/>
        <v>44713</v>
      </c>
      <c r="B90" s="24">
        <v>0.2145576608263482</v>
      </c>
      <c r="C90" s="24">
        <v>3.3387165853253853E-2</v>
      </c>
      <c r="D90" s="24">
        <v>0.92969388707395773</v>
      </c>
      <c r="E90" s="24">
        <v>0.92916247898212889</v>
      </c>
      <c r="F90" s="24">
        <v>0.9696681821266202</v>
      </c>
      <c r="G90" s="24">
        <v>1.0151166022165201</v>
      </c>
      <c r="H90" s="24">
        <v>0.15911270905595276</v>
      </c>
      <c r="I90" s="24">
        <v>0.17934092579349792</v>
      </c>
      <c r="J90" s="24">
        <v>0.13552434055329199</v>
      </c>
      <c r="K90" s="24">
        <v>0.3380191902951668</v>
      </c>
      <c r="L90" s="24">
        <v>0.12657450076804921</v>
      </c>
      <c r="M90" s="24">
        <v>-2.663642972281044E-2</v>
      </c>
      <c r="N90" s="24">
        <v>2.0423382499635587</v>
      </c>
      <c r="O90" s="24">
        <v>9.3375749084323001E-2</v>
      </c>
      <c r="P90" s="24">
        <v>0.17182762402425644</v>
      </c>
      <c r="Q90" s="24">
        <v>0.22239874983721841</v>
      </c>
      <c r="R90" s="24">
        <v>0.25001458151064448</v>
      </c>
      <c r="S90" s="24">
        <v>-0.13549832026875697</v>
      </c>
      <c r="T90" s="24">
        <v>0.21423892871438444</v>
      </c>
      <c r="U90" s="24">
        <v>0.17255474452554753</v>
      </c>
      <c r="V90" s="24">
        <v>0.25595023108051307</v>
      </c>
      <c r="W90" s="25">
        <v>8.1303700035618931E-2</v>
      </c>
      <c r="X90" s="24">
        <v>0.13576248451007333</v>
      </c>
      <c r="Y90" s="24">
        <v>0.28636868132350091</v>
      </c>
      <c r="Z90" s="24">
        <v>9.816932231156672E-2</v>
      </c>
      <c r="AA90" s="25">
        <v>4.7738125770041107E-2</v>
      </c>
      <c r="AB90" s="25">
        <v>1.5648698232060827</v>
      </c>
      <c r="AC90" s="51">
        <v>8.1511029266140733E-2</v>
      </c>
      <c r="AD90" s="51">
        <v>3.8565829663908868E-2</v>
      </c>
      <c r="AE90" s="51">
        <v>0.12815945793635053</v>
      </c>
      <c r="AF90" s="51">
        <v>0.93939930366234603</v>
      </c>
      <c r="AG90" s="51">
        <v>1.1015520828098486</v>
      </c>
      <c r="AH90" s="51">
        <v>0.91416252460062508</v>
      </c>
      <c r="AI90" s="51">
        <v>5.0090265113678978E-2</v>
      </c>
      <c r="AJ90" s="51">
        <v>0.41309546320235069</v>
      </c>
      <c r="AK90" s="51">
        <v>8.2144448987575558E-4</v>
      </c>
      <c r="AL90" s="51">
        <v>5.1108115671844256E-2</v>
      </c>
      <c r="AM90" s="51">
        <v>0.39015980079160384</v>
      </c>
      <c r="AN90" s="51">
        <v>0.30600550268168214</v>
      </c>
    </row>
    <row r="91" spans="1:40" x14ac:dyDescent="0.25">
      <c r="A91" s="1">
        <f>EDATE(A90,3)</f>
        <v>44805</v>
      </c>
      <c r="B91" s="24">
        <v>0.20758224559175531</v>
      </c>
      <c r="C91" s="24">
        <v>4.6198641806524998E-2</v>
      </c>
      <c r="D91" s="24">
        <v>1.2835830043762848</v>
      </c>
      <c r="E91" s="24">
        <v>1.2858031973455288</v>
      </c>
      <c r="F91" s="24">
        <v>1.1196151921678954</v>
      </c>
      <c r="G91" s="24">
        <v>0.55648120612296537</v>
      </c>
      <c r="H91" s="24">
        <v>0.18079247349898164</v>
      </c>
      <c r="I91" s="24">
        <v>0.18632075962196359</v>
      </c>
      <c r="J91" s="24">
        <v>0.17415342604887774</v>
      </c>
      <c r="K91" s="24">
        <v>0.20468543918374804</v>
      </c>
      <c r="L91" s="24">
        <v>0.53875299260955556</v>
      </c>
      <c r="M91" s="24">
        <v>0.1517611415620157</v>
      </c>
      <c r="N91" s="24">
        <v>0.94016798502953769</v>
      </c>
      <c r="O91" s="24">
        <v>0.12659337936610404</v>
      </c>
      <c r="P91" s="24">
        <v>0.16688360908544397</v>
      </c>
      <c r="Q91" s="24">
        <v>0.19789376229603062</v>
      </c>
      <c r="R91" s="24">
        <v>0.23722228456014349</v>
      </c>
      <c r="S91" s="24">
        <v>0.19406243178345339</v>
      </c>
      <c r="T91" s="24">
        <v>4.7678084375331942E-2</v>
      </c>
      <c r="U91" s="24">
        <v>0.10289192001254244</v>
      </c>
      <c r="V91" s="24">
        <v>0.26134497740449603</v>
      </c>
      <c r="W91" s="25">
        <v>2.3967954652654555E-2</v>
      </c>
      <c r="X91" s="24">
        <v>7.4969312436493185E-2</v>
      </c>
      <c r="Y91" s="24">
        <v>0.26064480239549237</v>
      </c>
      <c r="Z91" s="24">
        <v>9.5703858750909809E-2</v>
      </c>
      <c r="AA91" s="25">
        <v>6.9534120575012404E-2</v>
      </c>
      <c r="AB91" s="25">
        <v>1.2316360549221312</v>
      </c>
      <c r="AC91" s="51">
        <v>3.1245704064196689E-2</v>
      </c>
      <c r="AD91" s="51">
        <v>4.4308246791786798E-2</v>
      </c>
      <c r="AE91" s="51">
        <v>0.11351290896599031</v>
      </c>
      <c r="AF91" s="51">
        <v>0.75858238843292125</v>
      </c>
      <c r="AG91" s="51">
        <v>0.86498896562431904</v>
      </c>
      <c r="AH91" s="51">
        <v>0.74248613419394727</v>
      </c>
      <c r="AI91" s="51">
        <v>7.0313349095515676E-2</v>
      </c>
      <c r="AJ91" s="51">
        <v>0.3976402510307393</v>
      </c>
      <c r="AK91" s="51">
        <v>3.3844272938929887E-3</v>
      </c>
      <c r="AL91" s="51">
        <v>0.10853988534325798</v>
      </c>
      <c r="AM91" s="51">
        <v>0.3781908248728354</v>
      </c>
      <c r="AN91" s="51">
        <v>0.24065339419358467</v>
      </c>
    </row>
    <row r="92" spans="1:40" x14ac:dyDescent="0.25">
      <c r="A92" s="1">
        <f t="shared" ref="A92:A104" si="2">EDATE(A91,3)</f>
        <v>44896</v>
      </c>
      <c r="B92" s="24">
        <v>0.23957745461052449</v>
      </c>
      <c r="C92" s="24">
        <v>6.5932790678124187E-2</v>
      </c>
      <c r="D92" s="24">
        <v>0.66160297238169297</v>
      </c>
      <c r="E92" s="24">
        <v>0.66046698934553438</v>
      </c>
      <c r="F92" s="24">
        <v>0.75887832714666748</v>
      </c>
      <c r="G92" s="24">
        <v>0.11781890843766885</v>
      </c>
      <c r="H92" s="24">
        <v>0.21818256552493231</v>
      </c>
      <c r="I92" s="24">
        <v>0.25524306107276029</v>
      </c>
      <c r="J92" s="24">
        <v>0.17350173396095969</v>
      </c>
      <c r="K92" s="24">
        <v>0.33518417173649917</v>
      </c>
      <c r="L92" s="24">
        <v>0.10598494011158377</v>
      </c>
      <c r="M92" s="24">
        <v>0.37872133841212952</v>
      </c>
      <c r="N92" s="24">
        <v>4.379127527925486E-2</v>
      </c>
      <c r="O92" s="24">
        <v>0.17215687370195476</v>
      </c>
      <c r="P92" s="24">
        <v>0.18428422299399738</v>
      </c>
      <c r="Q92" s="24">
        <v>0.19383449847556289</v>
      </c>
      <c r="R92" s="24">
        <v>0.27694546931591257</v>
      </c>
      <c r="S92" s="24">
        <v>1.3570678796361091</v>
      </c>
      <c r="T92" s="24">
        <v>0.32882592831079616</v>
      </c>
      <c r="U92" s="24">
        <v>0.3104906485952883</v>
      </c>
      <c r="V92" s="24">
        <v>0.2655678270502535</v>
      </c>
      <c r="W92" s="25">
        <v>5.055356475430095E-2</v>
      </c>
      <c r="X92" s="24">
        <v>0.1405153685207996</v>
      </c>
      <c r="Y92" s="24">
        <v>7.2170127106873094E-2</v>
      </c>
      <c r="Z92" s="24">
        <v>3.472471624276352E-2</v>
      </c>
      <c r="AA92" s="25">
        <v>-4.0576650479440701E-2</v>
      </c>
      <c r="AB92" s="25">
        <v>-6.0205538950809045E-2</v>
      </c>
      <c r="AC92" s="51">
        <v>5.6115867526899565E-2</v>
      </c>
      <c r="AD92" s="51">
        <v>7.293474380085252E-2</v>
      </c>
      <c r="AE92" s="51">
        <v>0.12012555858327545</v>
      </c>
      <c r="AF92" s="51">
        <v>0.18123415896389972</v>
      </c>
      <c r="AG92" s="51">
        <v>0.1832066175860585</v>
      </c>
      <c r="AH92" s="51">
        <v>0.17803809143353977</v>
      </c>
      <c r="AI92" s="51">
        <v>0.18132611871877047</v>
      </c>
      <c r="AJ92" s="51">
        <v>0.20965429634596733</v>
      </c>
      <c r="AK92" s="51">
        <v>4.8813383783402164E-2</v>
      </c>
      <c r="AL92" s="51">
        <v>0.32651624125926748</v>
      </c>
      <c r="AM92" s="51">
        <v>0.21241302301054255</v>
      </c>
      <c r="AN92" s="51">
        <v>0.12284881622637367</v>
      </c>
    </row>
    <row r="93" spans="1:40" x14ac:dyDescent="0.25">
      <c r="A93" s="1">
        <f t="shared" si="2"/>
        <v>44986</v>
      </c>
      <c r="B93" s="24">
        <v>0.27737386276774889</v>
      </c>
      <c r="C93" s="24">
        <v>0.27884419769128299</v>
      </c>
      <c r="D93" s="24">
        <v>4.5991106773593637E-2</v>
      </c>
      <c r="E93" s="24">
        <v>4.3378051968777198E-2</v>
      </c>
      <c r="F93" s="24">
        <v>0.24943207949493384</v>
      </c>
      <c r="G93" s="24">
        <v>-1.7743633283518356E-2</v>
      </c>
      <c r="H93" s="24">
        <v>0.12105189658731663</v>
      </c>
      <c r="I93" s="24">
        <v>0.17047815844833147</v>
      </c>
      <c r="J93" s="24">
        <v>6.6498533924115977E-2</v>
      </c>
      <c r="K93" s="24">
        <v>0.18988819813675439</v>
      </c>
      <c r="L93" s="24">
        <v>0.12610147121617943</v>
      </c>
      <c r="M93" s="24">
        <v>0.43618893754517241</v>
      </c>
      <c r="N93" s="24">
        <v>-0.10817928904529828</v>
      </c>
      <c r="O93" s="24">
        <v>7.4565796223465375E-2</v>
      </c>
      <c r="P93" s="24">
        <v>0.24136512371074836</v>
      </c>
      <c r="Q93" s="24">
        <v>0.10260507120527951</v>
      </c>
      <c r="R93" s="24">
        <v>2.2049200032052019E-2</v>
      </c>
      <c r="S93" s="24">
        <v>0.31105434936852561</v>
      </c>
      <c r="T93" s="24">
        <v>0.23980342337523419</v>
      </c>
      <c r="U93" s="24">
        <v>0.2183750660900452</v>
      </c>
      <c r="V93" s="24">
        <v>0.20082815734989645</v>
      </c>
      <c r="W93" s="25">
        <v>5.7964296848081132E-2</v>
      </c>
      <c r="X93" s="24">
        <v>0.16653759607073026</v>
      </c>
      <c r="Y93" s="24">
        <v>0.13477546882540259</v>
      </c>
      <c r="Z93" s="24">
        <v>0.11230273991016859</v>
      </c>
      <c r="AA93" s="25">
        <v>0.12326201444120266</v>
      </c>
      <c r="AB93" s="25">
        <v>0.21018293330133697</v>
      </c>
      <c r="AC93" s="51">
        <v>7.0636573120526513E-2</v>
      </c>
      <c r="AD93" s="51">
        <v>0.27471920322338117</v>
      </c>
      <c r="AE93" s="51">
        <v>8.8599547189220695E-2</v>
      </c>
      <c r="AF93" s="51">
        <v>0.19173897083555769</v>
      </c>
      <c r="AG93" s="51">
        <v>0.2044835095510531</v>
      </c>
      <c r="AH93" s="51">
        <v>0.18307130452135922</v>
      </c>
      <c r="AI93" s="51">
        <v>0.11757339930663968</v>
      </c>
      <c r="AJ93" s="51">
        <v>0.1227202479464129</v>
      </c>
      <c r="AK93" s="51">
        <v>-3.0035977823738125E-2</v>
      </c>
      <c r="AL93" s="51">
        <v>5.9383378102000783E-2</v>
      </c>
      <c r="AM93" s="51">
        <v>0.11845515536845341</v>
      </c>
      <c r="AN93" s="51">
        <v>0.13101748560034698</v>
      </c>
    </row>
    <row r="94" spans="1:40" x14ac:dyDescent="0.25">
      <c r="A94" s="1">
        <f t="shared" si="2"/>
        <v>45078</v>
      </c>
      <c r="B94" s="24">
        <v>0.36114633617152969</v>
      </c>
      <c r="C94" s="24">
        <v>0.15559507145214924</v>
      </c>
      <c r="D94" s="24">
        <v>-0.24319106988747619</v>
      </c>
      <c r="E94" s="24">
        <v>-0.24534963052956804</v>
      </c>
      <c r="F94" s="24">
        <v>-8.4108883847058613E-2</v>
      </c>
      <c r="G94" s="24">
        <v>-0.12958176972659463</v>
      </c>
      <c r="H94" s="24">
        <v>0.10246172394592001</v>
      </c>
      <c r="I94" s="24">
        <v>0.13226451102909009</v>
      </c>
      <c r="J94" s="24">
        <v>6.636730062824725E-2</v>
      </c>
      <c r="K94" s="24">
        <v>0.22925636453447029</v>
      </c>
      <c r="L94" s="24">
        <v>0.14735673380342051</v>
      </c>
      <c r="M94" s="24">
        <v>0.22896456549092825</v>
      </c>
      <c r="N94" s="24">
        <v>-0.2356721458028278</v>
      </c>
      <c r="O94" s="24">
        <v>5.7218354879954525E-2</v>
      </c>
      <c r="P94" s="24">
        <v>0.19261012781340892</v>
      </c>
      <c r="Q94" s="24">
        <v>9.2832488174883876E-2</v>
      </c>
      <c r="R94" s="24">
        <v>5.3064414530014092E-2</v>
      </c>
      <c r="S94" s="24">
        <v>0.30181347150259064</v>
      </c>
      <c r="T94" s="24">
        <v>0.19942460703957332</v>
      </c>
      <c r="U94" s="24">
        <v>0.10911354581673294</v>
      </c>
      <c r="V94" s="24">
        <v>6.2321366738853579E-2</v>
      </c>
      <c r="W94" s="25">
        <v>3.8506615782470055E-2</v>
      </c>
      <c r="X94" s="24">
        <v>0.17105341558718434</v>
      </c>
      <c r="Y94" s="24">
        <v>6.1861717528082671E-2</v>
      </c>
      <c r="Z94" s="24">
        <v>9.3894174090943583E-2</v>
      </c>
      <c r="AA94" s="25">
        <v>9.4868785528505306E-2</v>
      </c>
      <c r="AB94" s="25">
        <v>0.14483612248518818</v>
      </c>
      <c r="AC94" s="51">
        <v>8.7266527377350522E-2</v>
      </c>
      <c r="AD94" s="51">
        <v>0.16710242031413092</v>
      </c>
      <c r="AE94" s="51">
        <v>7.3632726533247927E-2</v>
      </c>
      <c r="AF94" s="51">
        <v>-1.0755269948931057E-3</v>
      </c>
      <c r="AG94" s="51">
        <v>-4.1517078792236983E-3</v>
      </c>
      <c r="AH94" s="51">
        <v>4.4572921102248309E-4</v>
      </c>
      <c r="AI94" s="51">
        <v>2.5620260234402892E-2</v>
      </c>
      <c r="AJ94" s="51">
        <v>2.4190135632811138E-2</v>
      </c>
      <c r="AK94" s="51">
        <v>3.0583200832302815E-2</v>
      </c>
      <c r="AL94" s="51">
        <v>5.7436528971959167E-3</v>
      </c>
      <c r="AM94" s="51">
        <v>2.3592670205074606E-2</v>
      </c>
      <c r="AN94" s="51">
        <v>8.507639722679694E-2</v>
      </c>
    </row>
    <row r="95" spans="1:40" x14ac:dyDescent="0.25">
      <c r="A95" s="1">
        <f t="shared" si="2"/>
        <v>45170</v>
      </c>
      <c r="B95" s="24">
        <v>0.35240391439379648</v>
      </c>
      <c r="C95" s="24">
        <v>0.28097035860665498</v>
      </c>
      <c r="D95" s="24">
        <v>-0.29219443922539867</v>
      </c>
      <c r="E95" s="24">
        <v>-0.29773205743820841</v>
      </c>
      <c r="F95" s="24">
        <v>0.1488579878494185</v>
      </c>
      <c r="G95" s="24">
        <v>-5.9096422993618281E-2</v>
      </c>
      <c r="H95" s="24">
        <v>0.11585172864928195</v>
      </c>
      <c r="I95" s="24">
        <v>0.15304778422650767</v>
      </c>
      <c r="J95" s="24">
        <v>7.0719224704187233E-2</v>
      </c>
      <c r="K95" s="24">
        <v>0.24004538293659405</v>
      </c>
      <c r="L95" s="24">
        <v>0.16189084611846205</v>
      </c>
      <c r="M95" s="24">
        <v>0.13709898730279835</v>
      </c>
      <c r="N95" s="24">
        <v>-0.16783715821338208</v>
      </c>
      <c r="O95" s="24">
        <v>6.8249756199196154E-2</v>
      </c>
      <c r="P95" s="24">
        <v>0.21804595486943312</v>
      </c>
      <c r="Q95" s="24">
        <v>0.10555225858095141</v>
      </c>
      <c r="R95" s="24">
        <v>9.1215182124273042E-2</v>
      </c>
      <c r="S95" s="24">
        <v>0.19744058500914075</v>
      </c>
      <c r="T95" s="24">
        <v>0.18519457686716034</v>
      </c>
      <c r="U95" s="24">
        <v>0.17667355905918858</v>
      </c>
      <c r="V95" s="24">
        <v>0.18773220282358616</v>
      </c>
      <c r="W95" s="25">
        <v>0.1261335814268536</v>
      </c>
      <c r="X95" s="24">
        <v>0.10373993581218288</v>
      </c>
      <c r="Y95" s="24">
        <v>0.17032799924644526</v>
      </c>
      <c r="Z95" s="24">
        <v>0.13014352171484656</v>
      </c>
      <c r="AA95" s="25">
        <v>0.13729485467635083</v>
      </c>
      <c r="AB95" s="25">
        <v>0.49059467392884115</v>
      </c>
      <c r="AC95" s="51">
        <v>5.8371819055672569E-2</v>
      </c>
      <c r="AD95" s="51">
        <v>0.27958957469789958</v>
      </c>
      <c r="AE95" s="51">
        <v>8.9936428096693222E-2</v>
      </c>
      <c r="AF95" s="51">
        <v>0.24591293223080357</v>
      </c>
      <c r="AG95" s="51">
        <v>0.27123012611887209</v>
      </c>
      <c r="AH95" s="51">
        <v>0.23542300475438882</v>
      </c>
      <c r="AI95" s="51">
        <v>6.6120325008365288E-3</v>
      </c>
      <c r="AJ95" s="51">
        <v>4.7798827568744651E-2</v>
      </c>
      <c r="AK95" s="51">
        <v>0.10978089243613876</v>
      </c>
      <c r="AL95" s="51">
        <v>0.20070299248558365</v>
      </c>
      <c r="AM95" s="51">
        <v>5.4381770016309616E-2</v>
      </c>
      <c r="AN95" s="51">
        <v>0.15128745360500062</v>
      </c>
    </row>
    <row r="96" spans="1:40" x14ac:dyDescent="0.25">
      <c r="A96" s="1">
        <f t="shared" si="2"/>
        <v>45261</v>
      </c>
      <c r="B96" s="24">
        <v>0.29187825831473924</v>
      </c>
      <c r="C96" s="24">
        <v>0.29513590341243723</v>
      </c>
      <c r="D96" s="24">
        <v>-0.33052448743442153</v>
      </c>
      <c r="E96" s="24">
        <v>-0.33565982571847108</v>
      </c>
      <c r="F96" s="24">
        <v>8.4615419229713495E-2</v>
      </c>
      <c r="G96" s="24">
        <v>-1.9047011484970122E-2</v>
      </c>
      <c r="H96" s="24">
        <v>7.0802961898868366E-2</v>
      </c>
      <c r="I96" s="24">
        <v>9.7407759323043797E-2</v>
      </c>
      <c r="J96" s="24">
        <v>3.6493486688875976E-2</v>
      </c>
      <c r="K96" s="24">
        <v>0.11999246064276026</v>
      </c>
      <c r="L96" s="24">
        <v>0.17378957580033516</v>
      </c>
      <c r="M96" s="24">
        <v>8.1333932837478251E-2</v>
      </c>
      <c r="N96" s="24">
        <v>-9.6392334278633585E-2</v>
      </c>
      <c r="O96" s="24">
        <v>2.9472368330446308E-2</v>
      </c>
      <c r="P96" s="24">
        <v>0.18467947332511203</v>
      </c>
      <c r="Q96" s="24">
        <v>9.0539146136979332E-2</v>
      </c>
      <c r="R96" s="24">
        <v>6.4981126473831363E-2</v>
      </c>
      <c r="S96" s="24">
        <v>0.18830253098790184</v>
      </c>
      <c r="T96" s="24">
        <v>-9.840321203590463E-2</v>
      </c>
      <c r="U96" s="24">
        <v>0.1000234127670836</v>
      </c>
      <c r="V96" s="24">
        <v>0.197236074270557</v>
      </c>
      <c r="W96" s="25">
        <v>0.10030602553730361</v>
      </c>
      <c r="X96" s="24">
        <v>6.2912585685941824E-2</v>
      </c>
      <c r="Y96" s="24">
        <v>0.11057745980448974</v>
      </c>
      <c r="Z96" s="24">
        <v>0.10404460230804724</v>
      </c>
      <c r="AA96" s="25">
        <v>0.11978988815617342</v>
      </c>
      <c r="AB96" s="25">
        <v>0.32947881792075506</v>
      </c>
      <c r="AC96" s="51">
        <v>3.8674973842342419E-2</v>
      </c>
      <c r="AD96" s="51">
        <v>0.28407491474142943</v>
      </c>
      <c r="AE96" s="51">
        <v>8.4371216733875709E-2</v>
      </c>
      <c r="AF96" s="51">
        <v>0.12724513232162749</v>
      </c>
      <c r="AG96" s="51">
        <v>0.14492857921261337</v>
      </c>
      <c r="AH96" s="51">
        <v>0.12691062262294217</v>
      </c>
      <c r="AI96" s="51">
        <v>2.5440215493588436E-3</v>
      </c>
      <c r="AJ96" s="51">
        <v>2.2956283568194014E-3</v>
      </c>
      <c r="AK96" s="51">
        <v>7.4964007626006968E-2</v>
      </c>
      <c r="AL96" s="51">
        <v>0.20534484629214678</v>
      </c>
      <c r="AM96" s="51">
        <v>1.2297292201762122E-2</v>
      </c>
      <c r="AN96" s="51">
        <v>0.11345030757755747</v>
      </c>
    </row>
    <row r="97" spans="1:40" x14ac:dyDescent="0.25">
      <c r="A97" s="1">
        <f t="shared" si="2"/>
        <v>45352</v>
      </c>
      <c r="B97" s="26">
        <v>0.10796744450016504</v>
      </c>
      <c r="C97" s="26">
        <v>0.15376740271669664</v>
      </c>
      <c r="D97" s="26">
        <v>-0.1096717835207448</v>
      </c>
      <c r="E97" s="26">
        <v>-0.11116956707066472</v>
      </c>
      <c r="F97" s="26">
        <v>-1.2292179073178477E-2</v>
      </c>
      <c r="G97" s="26">
        <v>0.11269728670491919</v>
      </c>
      <c r="H97" s="26">
        <v>0.10997795367895558</v>
      </c>
      <c r="I97" s="26">
        <v>0.13121744446574501</v>
      </c>
      <c r="J97" s="26">
        <v>8.4249664318783335E-2</v>
      </c>
      <c r="K97" s="26">
        <v>0.14273153135850358</v>
      </c>
      <c r="L97" s="26">
        <v>0.12058118892087077</v>
      </c>
      <c r="M97" s="26">
        <v>-3.9549327128588496E-3</v>
      </c>
      <c r="N97" s="26">
        <v>0.1149245664824643</v>
      </c>
      <c r="O97" s="26">
        <v>0.18011400447834136</v>
      </c>
      <c r="P97" s="26">
        <v>7.3255231415468858E-2</v>
      </c>
      <c r="Q97" s="27">
        <v>0.24954497087813632</v>
      </c>
      <c r="R97" s="26">
        <v>0.19043761188569031</v>
      </c>
      <c r="S97" s="26">
        <v>0.25846953133456019</v>
      </c>
      <c r="T97" s="26">
        <v>0.15353916677902113</v>
      </c>
      <c r="U97" s="26">
        <v>2.0173359593194551E-2</v>
      </c>
      <c r="V97" s="26">
        <v>0.12359288097886534</v>
      </c>
      <c r="W97" s="26">
        <v>6.929694981757839E-2</v>
      </c>
      <c r="X97" s="26">
        <v>0.13125788781310188</v>
      </c>
      <c r="Y97" s="26">
        <v>0.12825887097075195</v>
      </c>
      <c r="Z97" s="26">
        <v>0.10973584077108067</v>
      </c>
      <c r="AA97" s="28">
        <v>0.15966842269043058</v>
      </c>
      <c r="AB97" s="28">
        <v>0.20803608966359466</v>
      </c>
      <c r="AC97" s="51">
        <v>3.5315010998740792E-2</v>
      </c>
      <c r="AD97" s="51">
        <v>0.16071962445254528</v>
      </c>
      <c r="AE97" s="51">
        <v>8.6340219885249869E-2</v>
      </c>
      <c r="AF97" s="51">
        <v>0.17208113069719877</v>
      </c>
      <c r="AG97" s="51">
        <v>0.17751478562063117</v>
      </c>
      <c r="AH97" s="51">
        <v>0.18049448873138929</v>
      </c>
      <c r="AI97" s="51">
        <v>6.395011455484112E-2</v>
      </c>
      <c r="AJ97" s="51">
        <v>8.8697313729395155E-2</v>
      </c>
      <c r="AK97" s="51">
        <v>3.664031948601032E-2</v>
      </c>
      <c r="AL97" s="51">
        <v>1.5941721663589759E-2</v>
      </c>
      <c r="AM97" s="51">
        <v>8.5391833255894278E-2</v>
      </c>
      <c r="AN97" s="51">
        <v>0.1166657702203644</v>
      </c>
    </row>
    <row r="98" spans="1:40" x14ac:dyDescent="0.25">
      <c r="A98" s="1">
        <f t="shared" si="2"/>
        <v>45444</v>
      </c>
      <c r="B98" s="26">
        <v>9.7000893451426817E-2</v>
      </c>
      <c r="C98" s="26">
        <v>0.16052084876432748</v>
      </c>
      <c r="D98" s="26">
        <v>5.498893012703121E-3</v>
      </c>
      <c r="E98" s="26">
        <v>5.4060908854065559E-3</v>
      </c>
      <c r="F98" s="26">
        <v>1.1128485376063146E-2</v>
      </c>
      <c r="G98" s="26">
        <v>0.14247883444536735</v>
      </c>
      <c r="H98" s="26">
        <v>0.13510180133549876</v>
      </c>
      <c r="I98" s="26">
        <v>0.14867481175626129</v>
      </c>
      <c r="J98" s="26">
        <v>0.11764757972118201</v>
      </c>
      <c r="K98" s="26">
        <v>0.2244606571860126</v>
      </c>
      <c r="L98" s="26">
        <v>0.27244792285622133</v>
      </c>
      <c r="M98" s="26">
        <v>0.18231058854613913</v>
      </c>
      <c r="N98" s="26">
        <v>0.14734371475127128</v>
      </c>
      <c r="O98" s="26">
        <v>0.20348143449936562</v>
      </c>
      <c r="P98" s="26">
        <v>3.7055985966963911E-2</v>
      </c>
      <c r="Q98" s="26">
        <v>0.15337973523620141</v>
      </c>
      <c r="R98" s="26">
        <v>0.1176571586818056</v>
      </c>
      <c r="S98" s="26">
        <v>-0.14567164179104475</v>
      </c>
      <c r="T98" s="26">
        <v>6.1564600354795829E-2</v>
      </c>
      <c r="U98" s="26">
        <v>-1.9599479143280529E-2</v>
      </c>
      <c r="V98" s="26">
        <v>0.14562731340809898</v>
      </c>
      <c r="W98" s="26">
        <v>5.9826877755503327E-2</v>
      </c>
      <c r="X98" s="26">
        <v>0.10060425899234193</v>
      </c>
      <c r="Y98" s="26">
        <v>8.7351189101748217E-2</v>
      </c>
      <c r="Z98" s="26">
        <v>9.890912621985648E-2</v>
      </c>
      <c r="AA98" s="26">
        <v>0.12694473434556763</v>
      </c>
      <c r="AB98" s="26">
        <v>0.18900918138731204</v>
      </c>
      <c r="AC98" s="26">
        <v>5.0169924418381973E-2</v>
      </c>
      <c r="AD98" s="26">
        <v>0.17903880174180919</v>
      </c>
      <c r="AE98" s="26">
        <v>9.5690214271650254E-2</v>
      </c>
      <c r="AF98" s="26">
        <v>6.2483211783560533E-2</v>
      </c>
      <c r="AG98" s="26">
        <v>7.007266230104281E-2</v>
      </c>
      <c r="AH98" s="26">
        <v>4.9874364295622975E-2</v>
      </c>
      <c r="AI98" s="26">
        <v>5.997712823165835E-2</v>
      </c>
      <c r="AJ98" s="26">
        <v>8.2986112786272992E-2</v>
      </c>
      <c r="AK98" s="26">
        <v>4.1619445343898054E-2</v>
      </c>
      <c r="AL98" s="26">
        <v>-2.9004026360829327E-3</v>
      </c>
      <c r="AM98" s="26">
        <v>7.953970830019319E-2</v>
      </c>
      <c r="AN98" s="26">
        <v>9.144110557680829E-2</v>
      </c>
    </row>
    <row r="99" spans="1:40" x14ac:dyDescent="0.25">
      <c r="A99" s="1">
        <f t="shared" si="2"/>
        <v>45536</v>
      </c>
      <c r="B99" s="26">
        <v>0.14673697181949241</v>
      </c>
      <c r="C99" s="26">
        <v>0.16275868639401736</v>
      </c>
      <c r="D99" s="26">
        <v>-0.17559657941783058</v>
      </c>
      <c r="E99" s="26">
        <v>-0.17926002653580642</v>
      </c>
      <c r="F99" s="26">
        <v>2.7681177962060044E-3</v>
      </c>
      <c r="G99" s="26">
        <v>0.10717715637884417</v>
      </c>
      <c r="H99" s="26">
        <v>0.1976824102841177</v>
      </c>
      <c r="I99" s="26">
        <v>0.19316606721221508</v>
      </c>
      <c r="J99" s="26">
        <v>0.20358375753514202</v>
      </c>
      <c r="K99" s="26">
        <v>0.27504297910778286</v>
      </c>
      <c r="L99" s="26">
        <v>0.18247554727526794</v>
      </c>
      <c r="M99" s="26">
        <v>8.8977314198933621E-2</v>
      </c>
      <c r="N99" s="26">
        <v>3.1745287341580442E-2</v>
      </c>
      <c r="O99" s="26">
        <v>0.34209571073318989</v>
      </c>
      <c r="P99" s="26">
        <v>0.15504742709394592</v>
      </c>
      <c r="Q99" s="26">
        <v>0.19141127270457514</v>
      </c>
      <c r="R99" s="26">
        <v>0.16552386888992787</v>
      </c>
      <c r="S99" s="26">
        <v>-0.10931297709923671</v>
      </c>
      <c r="T99" s="26">
        <v>0.13357771470139346</v>
      </c>
      <c r="U99" s="26">
        <v>-1.4420489615709964E-2</v>
      </c>
      <c r="V99" s="26">
        <v>8.9146027419847673E-2</v>
      </c>
      <c r="W99" s="26">
        <v>6.0878811638722663E-2</v>
      </c>
      <c r="X99" s="26">
        <v>0.11925099262467742</v>
      </c>
      <c r="Y99" s="26">
        <v>9.505134264149806E-2</v>
      </c>
      <c r="Z99" s="26">
        <v>0.10947827500527807</v>
      </c>
      <c r="AA99" s="26">
        <v>0.12377413889671618</v>
      </c>
      <c r="AB99" s="26">
        <v>0.18106048012412312</v>
      </c>
      <c r="AC99" s="26">
        <v>8.7993486881764893E-2</v>
      </c>
      <c r="AD99" s="26">
        <v>0.11434251065737433</v>
      </c>
      <c r="AE99" s="26">
        <v>9.3950413539220179E-2</v>
      </c>
      <c r="AF99" s="26">
        <v>7.0436514486295065E-2</v>
      </c>
      <c r="AG99" s="26">
        <v>7.4314608726652409E-2</v>
      </c>
      <c r="AH99" s="26">
        <v>6.7286688092117686E-2</v>
      </c>
      <c r="AI99" s="26">
        <v>3.7375867172706911E-2</v>
      </c>
      <c r="AJ99" s="26">
        <v>6.192717808985071E-2</v>
      </c>
      <c r="AK99" s="26">
        <v>3.9093587482255998E-2</v>
      </c>
      <c r="AL99" s="26">
        <v>6.0176099007348105E-2</v>
      </c>
      <c r="AM99" s="26">
        <v>6.1608082226120464E-2</v>
      </c>
      <c r="AN99" s="26">
        <v>0.10238401648576145</v>
      </c>
    </row>
    <row r="100" spans="1:40" x14ac:dyDescent="0.25">
      <c r="A100" s="1">
        <f t="shared" si="2"/>
        <v>45627</v>
      </c>
      <c r="B100" s="26">
        <v>0.12991545084748379</v>
      </c>
      <c r="C100" s="26">
        <v>0.16039994413596403</v>
      </c>
      <c r="D100" s="26">
        <v>-7.3088874516205271E-2</v>
      </c>
      <c r="E100" s="26">
        <v>-7.7880377469596973E-2</v>
      </c>
      <c r="F100" s="26">
        <v>0.16416424307045108</v>
      </c>
      <c r="G100" s="26">
        <v>7.7850160928402135E-2</v>
      </c>
      <c r="H100" s="26">
        <v>0.14252543683010233</v>
      </c>
      <c r="I100" s="26">
        <v>0.15999071507675033</v>
      </c>
      <c r="J100" s="26">
        <v>0.11867858369682871</v>
      </c>
      <c r="K100" s="26">
        <v>0.18155323985649896</v>
      </c>
      <c r="L100" s="26">
        <v>0.12150628118050122</v>
      </c>
      <c r="M100" s="26">
        <v>0.10907214532265264</v>
      </c>
      <c r="N100" s="26">
        <v>1.187445424245781E-2</v>
      </c>
      <c r="O100" s="26">
        <v>0.27320415125211595</v>
      </c>
      <c r="P100" s="26">
        <v>8.1176891432659604E-2</v>
      </c>
      <c r="Q100" s="26">
        <v>0.22013731601014785</v>
      </c>
      <c r="R100" s="26">
        <v>0.15738173346409079</v>
      </c>
      <c r="S100" s="26">
        <v>4.9281698938163698E-2</v>
      </c>
      <c r="T100" s="26">
        <v>0.131294388636509</v>
      </c>
      <c r="U100" s="26">
        <v>-1.149329557757961E-2</v>
      </c>
      <c r="V100" s="26">
        <v>0.14040296172882716</v>
      </c>
      <c r="W100" s="26">
        <v>7.9982937850114233E-2</v>
      </c>
      <c r="X100" s="26">
        <v>0.10364364348666943</v>
      </c>
      <c r="Y100" s="26">
        <v>9.1450314221729334E-2</v>
      </c>
      <c r="Z100" s="26">
        <v>0.10149557057681524</v>
      </c>
      <c r="AA100" s="26">
        <v>0.13252657468243489</v>
      </c>
      <c r="AB100" s="26">
        <v>0.19644946706653865</v>
      </c>
      <c r="AC100" s="26">
        <v>5.1794372723123372E-2</v>
      </c>
      <c r="AD100" s="26">
        <v>0.12031329762884302</v>
      </c>
      <c r="AE100" s="26">
        <v>9.6804094891619119E-2</v>
      </c>
      <c r="AF100" s="26">
        <v>6.6348734798292952E-2</v>
      </c>
      <c r="AG100" s="26">
        <v>7.2479113837666143E-2</v>
      </c>
      <c r="AH100" s="26">
        <v>5.9519296495191165E-2</v>
      </c>
      <c r="AI100" s="26">
        <v>5.0271317602570864E-2</v>
      </c>
      <c r="AJ100" s="26">
        <v>6.9630159291030003E-2</v>
      </c>
      <c r="AK100" s="26">
        <v>3.800969971794399E-2</v>
      </c>
      <c r="AL100" s="26">
        <v>-7.8094528678073982E-2</v>
      </c>
      <c r="AM100" s="26">
        <v>6.1293894379320202E-2</v>
      </c>
      <c r="AN100" s="26">
        <v>8.5134532231959659E-2</v>
      </c>
    </row>
    <row r="101" spans="1:40" x14ac:dyDescent="0.25">
      <c r="A101" s="1">
        <f t="shared" si="2"/>
        <v>45717</v>
      </c>
      <c r="B101" s="26">
        <v>0.14368000322266283</v>
      </c>
      <c r="C101" s="26">
        <v>9.4581657092915439E-2</v>
      </c>
      <c r="D101" s="26">
        <v>-6.6040407084544395E-3</v>
      </c>
      <c r="E101" s="26">
        <v>-7.2291033369746849E-3</v>
      </c>
      <c r="F101" s="26">
        <v>2.996098183481366E-2</v>
      </c>
      <c r="G101" s="26">
        <v>2.3496980994694994E-3</v>
      </c>
      <c r="H101" s="26">
        <v>8.1677945352679027E-2</v>
      </c>
      <c r="I101" s="26">
        <v>0.11129050271191532</v>
      </c>
      <c r="J101" s="26">
        <v>4.4253142309396587E-2</v>
      </c>
      <c r="K101" s="26">
        <v>0.17468729401322003</v>
      </c>
      <c r="L101" s="26">
        <v>0.1893409213258479</v>
      </c>
      <c r="M101" s="26">
        <v>5.62903081998396E-2</v>
      </c>
      <c r="N101" s="26">
        <v>-6.2336124222646894E-2</v>
      </c>
      <c r="O101" s="26">
        <v>2.7589627763959124E-2</v>
      </c>
      <c r="P101" s="26">
        <v>0.14207950477380527</v>
      </c>
      <c r="Q101" s="26">
        <v>7.8691279867783237E-2</v>
      </c>
      <c r="R101" s="26">
        <v>6.247873286280381E-2</v>
      </c>
      <c r="S101" s="26">
        <v>9.5381439752300512E-2</v>
      </c>
      <c r="T101" s="26">
        <v>5.6955515556698533E-2</v>
      </c>
      <c r="U101" s="26">
        <v>0.14202041795733167</v>
      </c>
      <c r="V101" s="26">
        <v>0.22491609824672554</v>
      </c>
      <c r="W101" s="26">
        <v>5.0849915878633078E-2</v>
      </c>
      <c r="X101" s="26">
        <v>9.1606638982159483E-2</v>
      </c>
      <c r="Y101" s="26">
        <v>8.8296130154692065E-2</v>
      </c>
      <c r="Z101" s="26">
        <v>0.15794844892914894</v>
      </c>
      <c r="AA101" s="26">
        <v>0.22065556077511617</v>
      </c>
      <c r="AB101" s="26">
        <v>0.16874809120545864</v>
      </c>
      <c r="AC101" s="26">
        <v>9.3146972944387008E-2</v>
      </c>
      <c r="AD101" s="26">
        <v>9.6284836462064316E-2</v>
      </c>
      <c r="AE101" s="26">
        <v>0.14027522965706507</v>
      </c>
      <c r="AF101" s="26">
        <v>-6.7723861704663491E-2</v>
      </c>
      <c r="AG101" s="26">
        <v>-7.8756792670787168E-2</v>
      </c>
      <c r="AH101" s="26">
        <v>-7.0905758474784308E-2</v>
      </c>
      <c r="AI101" s="26">
        <v>8.1753307180247425E-2</v>
      </c>
      <c r="AJ101" s="26">
        <v>7.6609648395884911E-2</v>
      </c>
      <c r="AK101" s="26">
        <v>0.12336342743036899</v>
      </c>
      <c r="AL101" s="26">
        <v>0.10344377876850053</v>
      </c>
      <c r="AM101" s="26">
        <v>7.8005984618300994E-2</v>
      </c>
      <c r="AN101" s="26">
        <v>8.8821694834531728E-2</v>
      </c>
    </row>
    <row r="102" spans="1:40" x14ac:dyDescent="0.25">
      <c r="A102" s="1">
        <f t="shared" si="2"/>
        <v>45809</v>
      </c>
      <c r="B102" s="26">
        <v>4.625402817454094E-2</v>
      </c>
      <c r="C102" s="26">
        <v>0.11201034371980567</v>
      </c>
      <c r="D102" s="26">
        <v>-0.12732625751658699</v>
      </c>
      <c r="E102" s="26">
        <v>-0.13074686908096489</v>
      </c>
      <c r="F102" s="26">
        <v>7.9199659882021489E-2</v>
      </c>
      <c r="G102" s="26">
        <v>3.0710936883773465E-2</v>
      </c>
      <c r="H102" s="26">
        <v>0.11612566866187835</v>
      </c>
      <c r="I102" s="26">
        <v>0.13284359839890847</v>
      </c>
      <c r="J102" s="26">
        <v>9.4030413824753856E-2</v>
      </c>
      <c r="K102" s="26">
        <v>0.13831225808854164</v>
      </c>
      <c r="L102" s="26">
        <v>0.12313378073674786</v>
      </c>
      <c r="M102" s="26">
        <v>7.3037599865914293E-2</v>
      </c>
      <c r="N102" s="26">
        <v>-2.5015911228703169E-2</v>
      </c>
      <c r="O102" s="26">
        <v>0.22985433261649701</v>
      </c>
      <c r="P102" s="26">
        <v>8.0573906398952566E-2</v>
      </c>
      <c r="Q102" s="26">
        <v>7.4523592188151522E-2</v>
      </c>
      <c r="R102" s="26">
        <v>0.10484506400122906</v>
      </c>
      <c r="S102" s="26">
        <v>0.17516887957139526</v>
      </c>
      <c r="T102" s="26">
        <v>6.7114646833149161E-2</v>
      </c>
      <c r="U102" s="26">
        <v>0.13848496645217434</v>
      </c>
      <c r="V102" s="26">
        <v>0.1350725755895259</v>
      </c>
      <c r="W102" s="26">
        <v>0.10940916042236193</v>
      </c>
      <c r="X102" s="26">
        <v>8.4372776286244067E-2</v>
      </c>
      <c r="Y102" s="26">
        <v>7.4345718418322271E-2</v>
      </c>
      <c r="Z102" s="26">
        <v>7.6402987493830565E-2</v>
      </c>
      <c r="AA102" s="26">
        <v>9.0753560024709579E-2</v>
      </c>
      <c r="AB102" s="26">
        <v>0.18187574791609795</v>
      </c>
      <c r="AC102" s="26">
        <v>4.2078800648649439E-2</v>
      </c>
      <c r="AD102" s="26">
        <v>0.11298073530449515</v>
      </c>
      <c r="AE102" s="26">
        <v>7.7001249373294112E-2</v>
      </c>
      <c r="AF102" s="26">
        <v>6.976755873242424E-2</v>
      </c>
      <c r="AG102" s="26">
        <v>7.2756426794632789E-2</v>
      </c>
      <c r="AH102" s="26">
        <v>6.564232177871232E-2</v>
      </c>
      <c r="AI102" s="26">
        <v>6.2351894783485351E-2</v>
      </c>
      <c r="AJ102" s="26">
        <v>3.8935127199925867E-2</v>
      </c>
      <c r="AK102" s="26">
        <v>0.39408007296191783</v>
      </c>
      <c r="AL102" s="26">
        <v>0.300300282788589</v>
      </c>
      <c r="AM102" s="26">
        <v>5.0914995825757314E-2</v>
      </c>
      <c r="AN102" s="26">
        <v>7.7309668361295714E-2</v>
      </c>
    </row>
    <row r="103" spans="1:40" x14ac:dyDescent="0.25">
      <c r="A103" s="1">
        <f t="shared" si="2"/>
        <v>45901</v>
      </c>
      <c r="B103" s="26">
        <v>-2.3983897939902188E-2</v>
      </c>
      <c r="C103" s="26">
        <v>8.1255104348173068E-2</v>
      </c>
      <c r="D103" s="26">
        <v>-5.9561651308817409E-2</v>
      </c>
      <c r="E103" s="26">
        <v>-6.1231851576741048E-2</v>
      </c>
      <c r="F103" s="26">
        <v>6.9939803055083516E-3</v>
      </c>
      <c r="G103" s="26">
        <v>-3.5849487833307991E-2</v>
      </c>
      <c r="H103" s="26">
        <v>6.0165547420620191E-2</v>
      </c>
      <c r="I103" s="26">
        <v>7.6602097832296101E-2</v>
      </c>
      <c r="J103" s="26">
        <v>3.8874378893008599E-2</v>
      </c>
      <c r="K103" s="26">
        <v>5.8133104195328134E-2</v>
      </c>
      <c r="L103" s="26">
        <v>5.5824167167236149E-2</v>
      </c>
      <c r="M103" s="26">
        <v>8.7804456168041334E-2</v>
      </c>
      <c r="N103" s="26">
        <v>-0.12874388074405319</v>
      </c>
      <c r="O103" s="26">
        <v>0.16643185854997578</v>
      </c>
      <c r="P103" s="26">
        <v>0.12205179479504658</v>
      </c>
      <c r="Q103" s="26">
        <v>5.9179781638341256E-2</v>
      </c>
      <c r="R103" s="26">
        <v>4.1314763231197205E-3</v>
      </c>
      <c r="S103" s="26">
        <v>1.4912581419266546E-2</v>
      </c>
      <c r="T103" s="26">
        <v>3.2513778090947909E-2</v>
      </c>
      <c r="U103" s="26">
        <v>3.7954935478838436E-2</v>
      </c>
      <c r="V103" s="26">
        <v>-2.7513213377682089E-2</v>
      </c>
      <c r="W103" s="26">
        <v>6.504523932463302E-2</v>
      </c>
      <c r="X103" s="26">
        <v>0.1087306276526232</v>
      </c>
      <c r="Y103" s="26">
        <v>6.0861700482750969E-2</v>
      </c>
      <c r="Z103" s="26">
        <v>7.1611153501784042E-2</v>
      </c>
      <c r="AA103" s="26">
        <v>7.8204757324770613E-2</v>
      </c>
      <c r="AB103" s="26">
        <v>9.5412896185315788E-2</v>
      </c>
      <c r="AC103" s="26">
        <v>4.8561746867169742E-2</v>
      </c>
      <c r="AD103" s="26">
        <v>8.4637869599104354E-2</v>
      </c>
      <c r="AE103" s="26">
        <v>7.9483312057835098E-2</v>
      </c>
      <c r="AF103" s="26">
        <v>4.185235929154052E-2</v>
      </c>
      <c r="AG103" s="26">
        <v>3.7148667388630541E-2</v>
      </c>
      <c r="AH103" s="26">
        <v>4.8081128668677753E-2</v>
      </c>
      <c r="AI103" s="26">
        <v>6.169814569198584E-2</v>
      </c>
      <c r="AJ103" s="26">
        <v>3.1439866658706128E-2</v>
      </c>
      <c r="AK103" s="26">
        <v>0.24283130031740474</v>
      </c>
      <c r="AL103" s="26">
        <v>0.18318959175250926</v>
      </c>
      <c r="AM103" s="26">
        <v>4.0354298492142338E-2</v>
      </c>
      <c r="AN103" s="26">
        <v>5.3198952169356772E-2</v>
      </c>
    </row>
    <row r="104" spans="1:40" x14ac:dyDescent="0.25">
      <c r="A104" s="1">
        <f t="shared" si="2"/>
        <v>45992</v>
      </c>
      <c r="B104" s="26">
        <v>4.2457394105533952E-2</v>
      </c>
      <c r="C104" s="26">
        <v>-1.2879710463196137E-2</v>
      </c>
      <c r="D104" s="26">
        <v>-0.18405728040358837</v>
      </c>
      <c r="E104" s="26">
        <v>-0.19115717516350228</v>
      </c>
      <c r="F104" s="26">
        <v>9.4404173883293696E-2</v>
      </c>
      <c r="G104" s="26">
        <v>-6.0050887318736312E-2</v>
      </c>
      <c r="H104" s="26">
        <v>6.277001459583742E-2</v>
      </c>
      <c r="I104" s="26">
        <v>7.7130267252230711E-2</v>
      </c>
      <c r="J104" s="26">
        <v>4.243863550247462E-2</v>
      </c>
      <c r="K104" s="26">
        <v>0.11103097771286707</v>
      </c>
      <c r="L104" s="26">
        <v>7.9186429777313272E-2</v>
      </c>
      <c r="M104" s="26">
        <v>6.3302060230460366E-2</v>
      </c>
      <c r="N104" s="26">
        <v>-0.20151858606361517</v>
      </c>
      <c r="O104" s="26">
        <v>9.0299597694065703E-2</v>
      </c>
      <c r="P104" s="26">
        <v>7.3027332312080029E-2</v>
      </c>
      <c r="Q104" s="26">
        <v>3.6893429751264861E-2</v>
      </c>
      <c r="R104" s="26">
        <v>2.4335902553162425E-2</v>
      </c>
      <c r="S104" s="26">
        <v>5.4229418417762965E-2</v>
      </c>
      <c r="T104" s="26">
        <v>5.5754765001979401E-2</v>
      </c>
      <c r="U104" s="26">
        <v>6.0577976240626885E-2</v>
      </c>
      <c r="V104" s="26">
        <v>0.10530957977969035</v>
      </c>
      <c r="W104" s="26">
        <v>5.700243913165548E-2</v>
      </c>
      <c r="X104" s="26">
        <v>8.3197911679031566E-2</v>
      </c>
      <c r="Y104" s="26">
        <v>5.4632632114436586E-2</v>
      </c>
      <c r="Z104" s="26">
        <v>6.1389744968546989E-2</v>
      </c>
      <c r="AA104" s="26">
        <v>7.840464876579456E-2</v>
      </c>
      <c r="AB104" s="26">
        <v>6.0982179879505161E-2</v>
      </c>
      <c r="AC104" s="26">
        <v>4.4773064105398497E-2</v>
      </c>
      <c r="AD104" s="26">
        <v>-1.0100328066810493E-2</v>
      </c>
      <c r="AE104" s="26">
        <v>8.0102015268811222E-2</v>
      </c>
      <c r="AF104" s="26">
        <v>3.7191097519637006E-2</v>
      </c>
      <c r="AG104" s="26">
        <v>3.9821402496774683E-2</v>
      </c>
      <c r="AH104" s="26">
        <v>3.1852418843088426E-2</v>
      </c>
      <c r="AI104" s="26">
        <v>4.2019886189465172E-2</v>
      </c>
      <c r="AJ104" s="26">
        <v>1.4338646527676913E-2</v>
      </c>
      <c r="AK104" s="26">
        <v>0.18244973239552764</v>
      </c>
      <c r="AL104" s="26">
        <v>-8.0773834757119634E-4</v>
      </c>
      <c r="AM104" s="26">
        <v>1.5578776764114455E-2</v>
      </c>
      <c r="AN104" s="26">
        <v>4.5831730274807247E-2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3:AN128"/>
  <sheetViews>
    <sheetView zoomScale="70" zoomScaleNormal="70" workbookViewId="0">
      <pane xSplit="1" ySplit="4" topLeftCell="V5" activePane="bottomRight" state="frozen"/>
      <selection pane="topRight" activeCell="B1" sqref="B1"/>
      <selection pane="bottomLeft" activeCell="A5" sqref="A5"/>
      <selection pane="bottomRight" activeCell="B5" sqref="B5:AN8"/>
    </sheetView>
  </sheetViews>
  <sheetFormatPr baseColWidth="10" defaultRowHeight="15" x14ac:dyDescent="0.25"/>
  <cols>
    <col min="2" max="2" width="11.42578125" bestFit="1" customWidth="1"/>
    <col min="3" max="3" width="12.85546875" customWidth="1"/>
    <col min="4" max="4" width="12.28515625" customWidth="1"/>
    <col min="5" max="11" width="11.5703125" customWidth="1"/>
    <col min="12" max="12" width="12.5703125" bestFit="1" customWidth="1"/>
    <col min="13" max="17" width="11.5703125" customWidth="1"/>
    <col min="18" max="19" width="13.7109375" bestFit="1" customWidth="1"/>
    <col min="20" max="23" width="11.5703125" customWidth="1"/>
    <col min="24" max="24" width="12.28515625" bestFit="1" customWidth="1"/>
    <col min="25" max="26" width="11.5703125" customWidth="1"/>
    <col min="27" max="27" width="15" bestFit="1" customWidth="1"/>
    <col min="28" max="28" width="13" bestFit="1" customWidth="1"/>
    <col min="29" max="29" width="15.7109375" bestFit="1" customWidth="1"/>
    <col min="35" max="35" width="14.28515625" customWidth="1"/>
    <col min="37" max="37" width="12.7109375" customWidth="1"/>
  </cols>
  <sheetData>
    <row r="3" spans="1:40" x14ac:dyDescent="0.25">
      <c r="G3" s="3" t="s">
        <v>4</v>
      </c>
      <c r="H3" s="3"/>
      <c r="I3" s="3"/>
    </row>
    <row r="4" spans="1:40" s="14" customFormat="1" ht="93.75" customHeight="1" x14ac:dyDescent="0.25">
      <c r="A4" s="12" t="s">
        <v>0</v>
      </c>
      <c r="B4" s="42" t="s">
        <v>24</v>
      </c>
      <c r="C4" s="11" t="s">
        <v>8</v>
      </c>
      <c r="D4" s="16" t="s">
        <v>44</v>
      </c>
      <c r="E4" s="17" t="s">
        <v>25</v>
      </c>
      <c r="F4" s="17" t="s">
        <v>26</v>
      </c>
      <c r="G4" s="22" t="s">
        <v>43</v>
      </c>
      <c r="H4" s="43" t="s">
        <v>45</v>
      </c>
      <c r="I4" s="43" t="s">
        <v>46</v>
      </c>
      <c r="J4" s="13" t="s">
        <v>27</v>
      </c>
      <c r="K4" s="13" t="s">
        <v>28</v>
      </c>
      <c r="L4" s="13" t="s">
        <v>29</v>
      </c>
      <c r="M4" s="13" t="s">
        <v>30</v>
      </c>
      <c r="N4" s="13" t="s">
        <v>31</v>
      </c>
      <c r="O4" s="13" t="s">
        <v>32</v>
      </c>
      <c r="P4" s="13" t="s">
        <v>33</v>
      </c>
      <c r="Q4" s="13" t="s">
        <v>34</v>
      </c>
      <c r="R4" s="13" t="s">
        <v>35</v>
      </c>
      <c r="S4" s="13" t="s">
        <v>36</v>
      </c>
      <c r="T4" s="13" t="s">
        <v>37</v>
      </c>
      <c r="U4" s="13" t="s">
        <v>38</v>
      </c>
      <c r="V4" s="13" t="s">
        <v>39</v>
      </c>
      <c r="W4" s="11" t="s">
        <v>20</v>
      </c>
      <c r="X4" s="11" t="s">
        <v>9</v>
      </c>
      <c r="Y4" s="44" t="s">
        <v>47</v>
      </c>
      <c r="Z4" s="18" t="s">
        <v>10</v>
      </c>
      <c r="AA4" s="19" t="s">
        <v>21</v>
      </c>
      <c r="AB4" s="15" t="s">
        <v>11</v>
      </c>
      <c r="AC4" s="15" t="s">
        <v>22</v>
      </c>
      <c r="AD4" s="15" t="s">
        <v>12</v>
      </c>
      <c r="AE4" s="15" t="s">
        <v>23</v>
      </c>
      <c r="AF4" s="20" t="s">
        <v>13</v>
      </c>
      <c r="AG4" s="7" t="s">
        <v>14</v>
      </c>
      <c r="AH4" s="7" t="s">
        <v>40</v>
      </c>
      <c r="AI4" s="7" t="s">
        <v>41</v>
      </c>
      <c r="AJ4" s="21" t="s">
        <v>19</v>
      </c>
      <c r="AK4" s="11" t="s">
        <v>15</v>
      </c>
      <c r="AL4" s="11" t="s">
        <v>16</v>
      </c>
      <c r="AM4" s="21" t="s">
        <v>17</v>
      </c>
      <c r="AN4" s="21" t="s">
        <v>18</v>
      </c>
    </row>
    <row r="5" spans="1:40" x14ac:dyDescent="0.25">
      <c r="A5" s="1">
        <v>36951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</row>
    <row r="6" spans="1:40" x14ac:dyDescent="0.25">
      <c r="A6" s="1">
        <f>EDATE(A5,3)</f>
        <v>37043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</row>
    <row r="7" spans="1:40" x14ac:dyDescent="0.25">
      <c r="A7" s="1">
        <f t="shared" ref="A7:A70" si="0">EDATE(A6,3)</f>
        <v>37135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</row>
    <row r="8" spans="1:40" x14ac:dyDescent="0.25">
      <c r="A8" s="1">
        <f t="shared" si="0"/>
        <v>37226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</row>
    <row r="9" spans="1:40" s="14" customFormat="1" x14ac:dyDescent="0.25">
      <c r="A9" s="40">
        <f t="shared" si="0"/>
        <v>37316</v>
      </c>
      <c r="B9" s="50">
        <v>3.1E-2</v>
      </c>
      <c r="C9" s="41">
        <v>0.14800000000000002</v>
      </c>
      <c r="D9" s="41">
        <v>-6.7000000000000004E-2</v>
      </c>
      <c r="E9" s="41">
        <v>-6.8000000000000005E-2</v>
      </c>
      <c r="F9" s="41">
        <v>3.6000000000000004E-2</v>
      </c>
      <c r="G9" s="41">
        <v>3.9E-2</v>
      </c>
      <c r="H9" s="41">
        <v>7.0385322158347474E-2</v>
      </c>
      <c r="I9" s="41">
        <v>0.15436370252434717</v>
      </c>
      <c r="J9" s="41">
        <v>-7.5999999999999998E-2</v>
      </c>
      <c r="K9" s="41">
        <v>0.37</v>
      </c>
      <c r="L9" s="41">
        <v>0.158</v>
      </c>
      <c r="M9" s="41">
        <v>1.9E-2</v>
      </c>
      <c r="N9" s="41">
        <v>6.9999999999999993E-3</v>
      </c>
      <c r="O9" s="41">
        <v>2.7000000000000003E-2</v>
      </c>
      <c r="P9" s="41">
        <v>9.1999999999999998E-2</v>
      </c>
      <c r="Q9" s="41">
        <v>2.8999999999999998E-2</v>
      </c>
      <c r="R9" s="41">
        <v>7.0999999999999994E-2</v>
      </c>
      <c r="S9" s="41">
        <v>0.13500000000000001</v>
      </c>
      <c r="T9" s="41">
        <v>0.11699999999999999</v>
      </c>
      <c r="U9" s="41">
        <v>0.31</v>
      </c>
      <c r="V9" s="41">
        <v>8.199999999999999E-2</v>
      </c>
      <c r="W9" s="41">
        <v>9.3000000000000013E-2</v>
      </c>
      <c r="X9" s="41">
        <v>-1.9E-2</v>
      </c>
      <c r="Y9" s="41">
        <v>5.7463880679099022E-2</v>
      </c>
      <c r="Z9" s="41">
        <v>5.6026685196626458E-2</v>
      </c>
      <c r="AA9" s="41">
        <v>5.7999999999999996E-2</v>
      </c>
      <c r="AB9" s="41">
        <v>8.1000000000000003E-2</v>
      </c>
      <c r="AC9" s="41">
        <v>6.6000000000000003E-2</v>
      </c>
      <c r="AD9" s="41">
        <v>0.151</v>
      </c>
      <c r="AE9" s="41">
        <v>2.8999999999999998E-2</v>
      </c>
      <c r="AF9" s="41">
        <v>6.123440383962353E-2</v>
      </c>
      <c r="AG9" s="41">
        <v>8.5000000000000006E-2</v>
      </c>
      <c r="AH9" s="41">
        <v>3.3000000000000002E-2</v>
      </c>
      <c r="AI9" s="41">
        <v>3.2000000000000001E-2</v>
      </c>
      <c r="AJ9" s="41">
        <v>1.3999999999999999E-2</v>
      </c>
      <c r="AK9" s="41">
        <v>0.29899999999999999</v>
      </c>
      <c r="AL9" s="41">
        <v>9.6999999999999989E-2</v>
      </c>
      <c r="AM9" s="41">
        <v>2.5000000000000001E-2</v>
      </c>
      <c r="AN9" s="41">
        <v>5.7316460474334807E-2</v>
      </c>
    </row>
    <row r="10" spans="1:40" x14ac:dyDescent="0.25">
      <c r="A10" s="1">
        <f t="shared" si="0"/>
        <v>37408</v>
      </c>
      <c r="B10" s="2">
        <v>1.1000000000000001E-2</v>
      </c>
      <c r="C10" s="2">
        <v>0.15</v>
      </c>
      <c r="D10" s="2">
        <v>1.4999999999999999E-2</v>
      </c>
      <c r="E10" s="2">
        <v>1.4999999999999999E-2</v>
      </c>
      <c r="F10" s="2">
        <v>-1E-3</v>
      </c>
      <c r="G10" s="2">
        <v>5.2999999999999999E-2</v>
      </c>
      <c r="H10" s="2">
        <v>-1.6228043429604044E-2</v>
      </c>
      <c r="I10" s="2">
        <v>-1.2635324634279188E-3</v>
      </c>
      <c r="J10" s="2">
        <v>-4.2999999999999997E-2</v>
      </c>
      <c r="K10" s="2">
        <v>-5.7999999999999996E-2</v>
      </c>
      <c r="L10" s="2">
        <v>0.11199999999999999</v>
      </c>
      <c r="M10" s="2">
        <v>-2.2000000000000002E-2</v>
      </c>
      <c r="N10" s="2">
        <v>0.156</v>
      </c>
      <c r="O10" s="2">
        <v>4.8000000000000001E-2</v>
      </c>
      <c r="P10" s="2">
        <v>-0.04</v>
      </c>
      <c r="Q10" s="2">
        <v>3.2000000000000001E-2</v>
      </c>
      <c r="R10" s="2">
        <v>0.01</v>
      </c>
      <c r="S10" s="2">
        <v>0.16399999999999998</v>
      </c>
      <c r="T10" s="2">
        <v>-6.6000000000000003E-2</v>
      </c>
      <c r="U10" s="2">
        <v>0.23300000000000001</v>
      </c>
      <c r="V10" s="2">
        <v>3.7000000000000005E-2</v>
      </c>
      <c r="W10" s="2">
        <v>3.6000000000000004E-2</v>
      </c>
      <c r="X10" s="2">
        <v>8.5999999999999993E-2</v>
      </c>
      <c r="Y10" s="41">
        <v>6.4513337651374236E-2</v>
      </c>
      <c r="Z10" s="2">
        <v>6.0564187789569512E-2</v>
      </c>
      <c r="AA10" s="2">
        <v>6.2E-2</v>
      </c>
      <c r="AB10" s="2">
        <v>0.14000000000000001</v>
      </c>
      <c r="AC10" s="2">
        <v>7.0000000000000007E-2</v>
      </c>
      <c r="AD10" s="2">
        <v>0.155</v>
      </c>
      <c r="AE10" s="2">
        <v>2.7000000000000003E-2</v>
      </c>
      <c r="AF10" s="2">
        <v>7.2657573112825613E-2</v>
      </c>
      <c r="AG10" s="2">
        <v>0.10099999999999999</v>
      </c>
      <c r="AH10" s="2">
        <v>3.6000000000000004E-2</v>
      </c>
      <c r="AI10" s="2">
        <v>3.1E-2</v>
      </c>
      <c r="AJ10" s="2">
        <v>4.5999999999999999E-2</v>
      </c>
      <c r="AK10" s="2">
        <v>0.441</v>
      </c>
      <c r="AL10" s="2">
        <v>0.127</v>
      </c>
      <c r="AM10" s="2">
        <v>5.9000000000000004E-2</v>
      </c>
      <c r="AN10" s="2">
        <v>7.2760454417793108E-2</v>
      </c>
    </row>
    <row r="11" spans="1:40" x14ac:dyDescent="0.25">
      <c r="A11" s="1">
        <f t="shared" si="0"/>
        <v>37500</v>
      </c>
      <c r="B11" s="2">
        <v>-0.02</v>
      </c>
      <c r="C11" s="2">
        <v>0.14400000000000002</v>
      </c>
      <c r="D11" s="2">
        <v>1.8000000000000002E-2</v>
      </c>
      <c r="E11" s="2">
        <v>1.8000000000000002E-2</v>
      </c>
      <c r="F11" s="2">
        <v>-1.3999999999999999E-2</v>
      </c>
      <c r="G11" s="2">
        <v>7.400000000000001E-2</v>
      </c>
      <c r="H11" s="2">
        <v>2.2534116589152164E-2</v>
      </c>
      <c r="I11" s="2">
        <v>3.5321775595098526E-2</v>
      </c>
      <c r="J11" s="2">
        <v>-2E-3</v>
      </c>
      <c r="K11" s="2">
        <v>-4.7E-2</v>
      </c>
      <c r="L11" s="2">
        <v>-6.6000000000000003E-2</v>
      </c>
      <c r="M11" s="2">
        <v>-3.4000000000000002E-2</v>
      </c>
      <c r="N11" s="2">
        <v>0.14800000000000002</v>
      </c>
      <c r="O11" s="2">
        <v>5.4000000000000006E-2</v>
      </c>
      <c r="P11" s="2">
        <v>0.14199999999999999</v>
      </c>
      <c r="Q11" s="2">
        <v>3.6000000000000004E-2</v>
      </c>
      <c r="R11" s="2">
        <v>1.9E-2</v>
      </c>
      <c r="S11" s="2">
        <v>0.151</v>
      </c>
      <c r="T11" s="2">
        <v>4.4000000000000004E-2</v>
      </c>
      <c r="U11" s="2">
        <v>0.21199999999999999</v>
      </c>
      <c r="V11" s="2">
        <v>4.7E-2</v>
      </c>
      <c r="W11" s="2">
        <v>5.7000000000000002E-2</v>
      </c>
      <c r="X11" s="2">
        <v>8.199999999999999E-2</v>
      </c>
      <c r="Y11" s="41">
        <v>6.7256772031265344E-2</v>
      </c>
      <c r="Z11" s="2">
        <v>6.665225477429515E-2</v>
      </c>
      <c r="AA11" s="2">
        <v>6.9000000000000006E-2</v>
      </c>
      <c r="AB11" s="2">
        <v>0.17699999999999999</v>
      </c>
      <c r="AC11" s="2">
        <v>7.5999999999999998E-2</v>
      </c>
      <c r="AD11" s="2">
        <v>0.152</v>
      </c>
      <c r="AE11" s="2">
        <v>2.7000000000000003E-2</v>
      </c>
      <c r="AF11" s="2">
        <v>6.8903209766101758E-2</v>
      </c>
      <c r="AG11" s="2">
        <v>9.6999999999999989E-2</v>
      </c>
      <c r="AH11" s="2">
        <v>3.7999999999999999E-2</v>
      </c>
      <c r="AI11" s="2">
        <v>3.1E-2</v>
      </c>
      <c r="AJ11" s="2">
        <v>4.9000000000000002E-2</v>
      </c>
      <c r="AK11" s="2">
        <v>6.8000000000000005E-2</v>
      </c>
      <c r="AL11" s="2">
        <v>0.127</v>
      </c>
      <c r="AM11" s="2">
        <v>5.4000000000000006E-2</v>
      </c>
      <c r="AN11" s="2">
        <v>6.4062374706641556E-2</v>
      </c>
    </row>
    <row r="12" spans="1:40" x14ac:dyDescent="0.25">
      <c r="A12" s="1">
        <f t="shared" si="0"/>
        <v>37591</v>
      </c>
      <c r="B12" s="2">
        <v>1.3000000000000001E-2</v>
      </c>
      <c r="C12" s="2">
        <v>0.13</v>
      </c>
      <c r="D12" s="2">
        <v>0.17399999999999999</v>
      </c>
      <c r="E12" s="2">
        <v>0.17499999999999999</v>
      </c>
      <c r="F12" s="2">
        <v>3.3000000000000002E-2</v>
      </c>
      <c r="G12" s="2">
        <v>1.3999999999999999E-2</v>
      </c>
      <c r="H12" s="2">
        <v>9.9686707167283561E-3</v>
      </c>
      <c r="I12" s="2">
        <v>3.4053262169992493E-2</v>
      </c>
      <c r="J12" s="2">
        <v>-3.3000000000000002E-2</v>
      </c>
      <c r="K12" s="2">
        <v>3.2000000000000001E-2</v>
      </c>
      <c r="L12" s="2">
        <v>3.6000000000000004E-2</v>
      </c>
      <c r="M12" s="2">
        <v>-2.4E-2</v>
      </c>
      <c r="N12" s="2">
        <v>1.6E-2</v>
      </c>
      <c r="O12" s="2">
        <v>4.5999999999999999E-2</v>
      </c>
      <c r="P12" s="2">
        <v>4.5999999999999999E-2</v>
      </c>
      <c r="Q12" s="2">
        <v>3.1E-2</v>
      </c>
      <c r="R12" s="2">
        <v>-2E-3</v>
      </c>
      <c r="S12" s="2">
        <v>0.106</v>
      </c>
      <c r="T12" s="2">
        <v>8.5999999999999993E-2</v>
      </c>
      <c r="U12" s="2">
        <v>0.17399999999999999</v>
      </c>
      <c r="V12" s="2">
        <v>1.3000000000000001E-2</v>
      </c>
      <c r="W12" s="2">
        <v>2.3E-2</v>
      </c>
      <c r="X12" s="2">
        <v>6.2E-2</v>
      </c>
      <c r="Y12" s="41">
        <v>6.0767308184852986E-2</v>
      </c>
      <c r="Z12" s="2">
        <v>6.2019837792684829E-2</v>
      </c>
      <c r="AA12" s="2">
        <v>7.2999999999999995E-2</v>
      </c>
      <c r="AB12" s="2">
        <v>-2.7000000000000003E-2</v>
      </c>
      <c r="AC12" s="2">
        <v>7.6999999999999999E-2</v>
      </c>
      <c r="AD12" s="2">
        <v>0.14400000000000002</v>
      </c>
      <c r="AE12" s="2">
        <v>3.1E-2</v>
      </c>
      <c r="AF12" s="2">
        <v>5.7623363078663337E-2</v>
      </c>
      <c r="AG12" s="2">
        <v>7.4999999999999997E-2</v>
      </c>
      <c r="AH12" s="2">
        <v>3.7999999999999999E-2</v>
      </c>
      <c r="AI12" s="2">
        <v>3.2000000000000001E-2</v>
      </c>
      <c r="AJ12" s="2">
        <v>7.6999999999999999E-2</v>
      </c>
      <c r="AK12" s="2">
        <v>6.8000000000000005E-2</v>
      </c>
      <c r="AL12" s="2">
        <v>0.10800000000000001</v>
      </c>
      <c r="AM12" s="2">
        <v>7.8E-2</v>
      </c>
      <c r="AN12" s="2">
        <v>5.4067024485833226E-2</v>
      </c>
    </row>
    <row r="13" spans="1:40" s="14" customFormat="1" x14ac:dyDescent="0.25">
      <c r="A13" s="40">
        <f t="shared" si="0"/>
        <v>37681</v>
      </c>
      <c r="B13" s="2">
        <v>7.6999999999999999E-2</v>
      </c>
      <c r="C13" s="2">
        <v>0.10800000000000001</v>
      </c>
      <c r="D13" s="2">
        <v>0.11599999999999999</v>
      </c>
      <c r="E13" s="2">
        <v>0.11699999999999999</v>
      </c>
      <c r="F13" s="2">
        <v>-6.9999999999999993E-3</v>
      </c>
      <c r="G13" s="2">
        <v>-8.0000000000000002E-3</v>
      </c>
      <c r="H13" s="2">
        <v>6.9719386396460692E-3</v>
      </c>
      <c r="I13" s="2">
        <v>-4.1724318532984084E-3</v>
      </c>
      <c r="J13" s="2">
        <v>3.3000000000000002E-2</v>
      </c>
      <c r="K13" s="2">
        <v>3.4000000000000002E-2</v>
      </c>
      <c r="L13" s="2">
        <v>1.8000000000000002E-2</v>
      </c>
      <c r="M13" s="2">
        <v>2.7999999999999997E-2</v>
      </c>
      <c r="N13" s="2">
        <v>-6.9000000000000006E-2</v>
      </c>
      <c r="O13" s="2">
        <v>2.4E-2</v>
      </c>
      <c r="P13" s="2">
        <v>-0.1</v>
      </c>
      <c r="Q13" s="2">
        <v>0.02</v>
      </c>
      <c r="R13" s="2">
        <v>-1.8000000000000002E-2</v>
      </c>
      <c r="S13" s="2">
        <v>6.0999999999999999E-2</v>
      </c>
      <c r="T13" s="2">
        <v>2.8999999999999998E-2</v>
      </c>
      <c r="U13" s="2">
        <v>7.6999999999999999E-2</v>
      </c>
      <c r="V13" s="2">
        <v>-2.6000000000000002E-2</v>
      </c>
      <c r="W13" s="2">
        <v>5.7000000000000002E-2</v>
      </c>
      <c r="X13" s="2">
        <v>4.4999999999999998E-2</v>
      </c>
      <c r="Y13" s="41">
        <v>6.0267858709070365E-2</v>
      </c>
      <c r="Z13" s="2">
        <v>6.5732630166806194E-2</v>
      </c>
      <c r="AA13" s="2">
        <v>7.9000000000000001E-2</v>
      </c>
      <c r="AB13" s="2">
        <v>0.30299999999999999</v>
      </c>
      <c r="AC13" s="2">
        <v>4.4999999999999998E-2</v>
      </c>
      <c r="AD13" s="2">
        <v>0.129</v>
      </c>
      <c r="AE13" s="2">
        <v>3.9E-2</v>
      </c>
      <c r="AF13" s="2">
        <v>4.7095356219511109E-2</v>
      </c>
      <c r="AG13" s="2">
        <v>0.05</v>
      </c>
      <c r="AH13" s="2">
        <v>4.4000000000000004E-2</v>
      </c>
      <c r="AI13" s="2">
        <v>4.0999999999999995E-2</v>
      </c>
      <c r="AJ13" s="2">
        <v>7.0000000000000007E-2</v>
      </c>
      <c r="AK13" s="2">
        <v>-0.38700000000000001</v>
      </c>
      <c r="AL13" s="2">
        <v>6.8000000000000005E-2</v>
      </c>
      <c r="AM13" s="2">
        <v>5.7999999999999996E-2</v>
      </c>
      <c r="AN13" s="2">
        <v>4.3058235992139871E-2</v>
      </c>
    </row>
    <row r="14" spans="1:40" x14ac:dyDescent="0.25">
      <c r="A14" s="1">
        <f t="shared" si="0"/>
        <v>37773</v>
      </c>
      <c r="B14" s="2">
        <v>0.109</v>
      </c>
      <c r="C14" s="2">
        <v>0.09</v>
      </c>
      <c r="D14" s="2">
        <v>0.12300000000000001</v>
      </c>
      <c r="E14" s="2">
        <v>0.124</v>
      </c>
      <c r="F14" s="2">
        <v>5.0000000000000001E-3</v>
      </c>
      <c r="G14" s="2">
        <v>-0.01</v>
      </c>
      <c r="H14" s="2">
        <v>4.1201570391176778E-2</v>
      </c>
      <c r="I14" s="2">
        <v>5.7024939569993327E-2</v>
      </c>
      <c r="J14" s="2">
        <v>8.0000000000000002E-3</v>
      </c>
      <c r="K14" s="2">
        <v>0.17100000000000001</v>
      </c>
      <c r="L14" s="2">
        <v>-6.3E-2</v>
      </c>
      <c r="M14" s="2">
        <v>-6.9999999999999993E-3</v>
      </c>
      <c r="N14" s="2">
        <v>-6.9000000000000006E-2</v>
      </c>
      <c r="O14" s="2">
        <v>1.1000000000000001E-2</v>
      </c>
      <c r="P14" s="2">
        <v>3.9E-2</v>
      </c>
      <c r="Q14" s="2">
        <v>1.4999999999999999E-2</v>
      </c>
      <c r="R14" s="2">
        <v>4.4999999999999998E-2</v>
      </c>
      <c r="S14" s="2">
        <v>1.7000000000000001E-2</v>
      </c>
      <c r="T14" s="2">
        <v>8.0000000000000002E-3</v>
      </c>
      <c r="U14" s="2">
        <v>2.7999999999999997E-2</v>
      </c>
      <c r="V14" s="2">
        <v>-6.0000000000000001E-3</v>
      </c>
      <c r="W14" s="2">
        <v>7.2999999999999995E-2</v>
      </c>
      <c r="X14" s="2">
        <v>4.4000000000000004E-2</v>
      </c>
      <c r="Y14" s="41">
        <v>6.0670816356119595E-2</v>
      </c>
      <c r="Z14" s="2">
        <v>7.6445161490896529E-2</v>
      </c>
      <c r="AA14" s="2">
        <v>8.199999999999999E-2</v>
      </c>
      <c r="AB14" s="2">
        <v>0.54799999999999993</v>
      </c>
      <c r="AC14" s="2">
        <v>4.4000000000000004E-2</v>
      </c>
      <c r="AD14" s="2">
        <v>0.11699999999999999</v>
      </c>
      <c r="AE14" s="2">
        <v>4.4000000000000004E-2</v>
      </c>
      <c r="AF14" s="2">
        <v>3.0213504498076693E-2</v>
      </c>
      <c r="AG14" s="2">
        <v>2.2000000000000002E-2</v>
      </c>
      <c r="AH14" s="2">
        <v>4.0999999999999995E-2</v>
      </c>
      <c r="AI14" s="2">
        <v>4.2999999999999997E-2</v>
      </c>
      <c r="AJ14" s="2">
        <v>7.2999999999999995E-2</v>
      </c>
      <c r="AK14" s="2">
        <v>-0.313</v>
      </c>
      <c r="AL14" s="2">
        <v>0.04</v>
      </c>
      <c r="AM14" s="2">
        <v>0.06</v>
      </c>
      <c r="AN14" s="2">
        <v>4.3230665623583908E-2</v>
      </c>
    </row>
    <row r="15" spans="1:40" x14ac:dyDescent="0.25">
      <c r="A15" s="1">
        <f t="shared" si="0"/>
        <v>37865</v>
      </c>
      <c r="B15" s="2">
        <v>0.152</v>
      </c>
      <c r="C15" s="2">
        <v>7.8E-2</v>
      </c>
      <c r="D15" s="2">
        <v>0.13100000000000001</v>
      </c>
      <c r="E15" s="2">
        <v>0.13100000000000001</v>
      </c>
      <c r="F15" s="2">
        <v>3.6000000000000004E-2</v>
      </c>
      <c r="G15" s="2">
        <v>-4.2999999999999997E-2</v>
      </c>
      <c r="H15" s="2">
        <v>1.6139746161213164E-2</v>
      </c>
      <c r="I15" s="2">
        <v>6.9124191394891454E-3</v>
      </c>
      <c r="J15" s="2">
        <v>3.5000000000000003E-2</v>
      </c>
      <c r="K15" s="2">
        <v>0.11599999999999999</v>
      </c>
      <c r="L15" s="2">
        <v>0.13600000000000001</v>
      </c>
      <c r="M15" s="2">
        <v>1.3999999999999999E-2</v>
      </c>
      <c r="N15" s="2">
        <v>-0.11599999999999999</v>
      </c>
      <c r="O15" s="2">
        <v>6.0000000000000001E-3</v>
      </c>
      <c r="P15" s="2">
        <v>-0.14099999999999999</v>
      </c>
      <c r="Q15" s="2">
        <v>5.0000000000000001E-3</v>
      </c>
      <c r="R15" s="2">
        <v>9.0000000000000011E-3</v>
      </c>
      <c r="S15" s="2">
        <v>1.1000000000000001E-2</v>
      </c>
      <c r="T15" s="2">
        <v>5.0000000000000001E-3</v>
      </c>
      <c r="U15" s="2">
        <v>1.1000000000000001E-2</v>
      </c>
      <c r="V15" s="2">
        <v>-3.9E-2</v>
      </c>
      <c r="W15" s="2">
        <v>6.3E-2</v>
      </c>
      <c r="X15" s="2">
        <v>6.0999999999999999E-2</v>
      </c>
      <c r="Y15" s="41">
        <v>3.9198459312548506E-2</v>
      </c>
      <c r="Z15" s="2">
        <v>4.2563755766816369E-2</v>
      </c>
      <c r="AA15" s="2">
        <v>7.0999999999999994E-2</v>
      </c>
      <c r="AB15" s="2">
        <v>-0.308</v>
      </c>
      <c r="AC15" s="2">
        <v>0.04</v>
      </c>
      <c r="AD15" s="2">
        <v>0.107</v>
      </c>
      <c r="AE15" s="2">
        <v>4.8000000000000001E-2</v>
      </c>
      <c r="AF15" s="2">
        <v>3.0587708534361102E-2</v>
      </c>
      <c r="AG15" s="2">
        <v>0.02</v>
      </c>
      <c r="AH15" s="2">
        <v>4.2999999999999997E-2</v>
      </c>
      <c r="AI15" s="2">
        <v>4.4000000000000004E-2</v>
      </c>
      <c r="AJ15" s="2">
        <v>6.4000000000000001E-2</v>
      </c>
      <c r="AK15" s="2">
        <v>0.32</v>
      </c>
      <c r="AL15" s="2">
        <v>-0.02</v>
      </c>
      <c r="AM15" s="2">
        <v>6.5000000000000002E-2</v>
      </c>
      <c r="AN15" s="2">
        <v>4.5803922188089263E-2</v>
      </c>
    </row>
    <row r="16" spans="1:40" x14ac:dyDescent="0.25">
      <c r="A16" s="1">
        <f t="shared" si="0"/>
        <v>37956</v>
      </c>
      <c r="B16" s="2">
        <v>0.13</v>
      </c>
      <c r="C16" s="2">
        <v>7.400000000000001E-2</v>
      </c>
      <c r="D16" s="2">
        <v>0.128</v>
      </c>
      <c r="E16" s="2">
        <v>0.128</v>
      </c>
      <c r="F16" s="2">
        <v>2.4E-2</v>
      </c>
      <c r="G16" s="2">
        <v>-6.7000000000000004E-2</v>
      </c>
      <c r="H16" s="2">
        <v>-3.4337002297221808E-2</v>
      </c>
      <c r="I16" s="2">
        <v>-6.5468733078720587E-2</v>
      </c>
      <c r="J16" s="2">
        <v>2.7999999999999997E-2</v>
      </c>
      <c r="K16" s="2">
        <v>-0.222</v>
      </c>
      <c r="L16" s="2">
        <v>-7.8E-2</v>
      </c>
      <c r="M16" s="2">
        <v>1E-3</v>
      </c>
      <c r="N16" s="2">
        <v>-0.10800000000000001</v>
      </c>
      <c r="O16" s="2">
        <v>8.0000000000000002E-3</v>
      </c>
      <c r="P16" s="2">
        <v>-5.2000000000000005E-2</v>
      </c>
      <c r="Q16" s="2">
        <v>3.0000000000000001E-3</v>
      </c>
      <c r="R16" s="2">
        <v>3.7999999999999999E-2</v>
      </c>
      <c r="S16" s="2">
        <v>4.8000000000000001E-2</v>
      </c>
      <c r="T16" s="2">
        <v>-1.2E-2</v>
      </c>
      <c r="U16" s="2">
        <v>-1.1000000000000001E-2</v>
      </c>
      <c r="V16" s="2">
        <v>-4.0000000000000001E-3</v>
      </c>
      <c r="W16" s="2">
        <v>5.5999999999999994E-2</v>
      </c>
      <c r="X16" s="2">
        <v>0.11800000000000001</v>
      </c>
      <c r="Y16" s="41">
        <v>3.9779132706069031E-2</v>
      </c>
      <c r="Z16" s="2">
        <v>4.4399650782331879E-2</v>
      </c>
      <c r="AA16" s="2">
        <v>7.0999999999999994E-2</v>
      </c>
      <c r="AB16" s="2">
        <v>-0.27699999999999997</v>
      </c>
      <c r="AC16" s="2">
        <v>3.5000000000000003E-2</v>
      </c>
      <c r="AD16" s="2">
        <v>0.10099999999999999</v>
      </c>
      <c r="AE16" s="2">
        <v>4.8000000000000001E-2</v>
      </c>
      <c r="AF16" s="2">
        <v>2.7025459137460794E-2</v>
      </c>
      <c r="AG16" s="2">
        <v>1.7000000000000001E-2</v>
      </c>
      <c r="AH16" s="2">
        <v>3.7999999999999999E-2</v>
      </c>
      <c r="AI16" s="2">
        <v>4.2000000000000003E-2</v>
      </c>
      <c r="AJ16" s="2">
        <v>6.4000000000000001E-2</v>
      </c>
      <c r="AK16" s="2">
        <v>0.69299999999999995</v>
      </c>
      <c r="AL16" s="2">
        <v>1.7000000000000001E-2</v>
      </c>
      <c r="AM16" s="2">
        <v>7.6999999999999999E-2</v>
      </c>
      <c r="AN16" s="2">
        <v>5.9823292760614599E-2</v>
      </c>
    </row>
    <row r="17" spans="1:40" x14ac:dyDescent="0.25">
      <c r="A17" s="1">
        <f t="shared" si="0"/>
        <v>38047</v>
      </c>
      <c r="B17" s="2">
        <v>0.09</v>
      </c>
      <c r="C17" s="2">
        <v>7.9000000000000001E-2</v>
      </c>
      <c r="D17" s="2">
        <v>0.16</v>
      </c>
      <c r="E17" s="2">
        <v>0.161</v>
      </c>
      <c r="F17" s="2">
        <v>6.6000000000000003E-2</v>
      </c>
      <c r="G17" s="2">
        <v>-2.5000000000000001E-2</v>
      </c>
      <c r="H17" s="2">
        <v>9.0922630813994321E-3</v>
      </c>
      <c r="I17" s="2">
        <v>-9.7816094307672241E-3</v>
      </c>
      <c r="J17" s="2">
        <v>5.2000000000000005E-2</v>
      </c>
      <c r="K17" s="2">
        <v>-3.7000000000000005E-2</v>
      </c>
      <c r="L17" s="2">
        <v>1.7000000000000001E-2</v>
      </c>
      <c r="M17" s="2">
        <v>-5.2999999999999999E-2</v>
      </c>
      <c r="N17" s="2">
        <v>-7.0999999999999994E-2</v>
      </c>
      <c r="O17" s="2">
        <v>1.8000000000000002E-2</v>
      </c>
      <c r="P17" s="2">
        <v>3.2000000000000001E-2</v>
      </c>
      <c r="Q17" s="2">
        <v>0</v>
      </c>
      <c r="R17" s="2">
        <v>1.9E-2</v>
      </c>
      <c r="S17" s="2">
        <v>6.4000000000000001E-2</v>
      </c>
      <c r="T17" s="2">
        <v>-0.11</v>
      </c>
      <c r="U17" s="2">
        <v>-4.2000000000000003E-2</v>
      </c>
      <c r="V17" s="2">
        <v>5.0000000000000001E-3</v>
      </c>
      <c r="W17" s="2">
        <v>3.9E-2</v>
      </c>
      <c r="X17" s="2">
        <v>2.5000000000000001E-2</v>
      </c>
      <c r="Y17" s="41">
        <v>3.4699777587113623E-2</v>
      </c>
      <c r="Z17" s="2">
        <v>4.0888008032067269E-2</v>
      </c>
      <c r="AA17" s="2">
        <v>5.9000000000000004E-2</v>
      </c>
      <c r="AB17" s="2">
        <v>-0.318</v>
      </c>
      <c r="AC17" s="2">
        <v>5.2000000000000005E-2</v>
      </c>
      <c r="AD17" s="2">
        <v>0.10099999999999999</v>
      </c>
      <c r="AE17" s="2">
        <v>4.7E-2</v>
      </c>
      <c r="AF17" s="2">
        <v>2.0764637847366263E-2</v>
      </c>
      <c r="AG17" s="2">
        <v>1.4999999999999999E-2</v>
      </c>
      <c r="AH17" s="2">
        <v>2.7000000000000003E-2</v>
      </c>
      <c r="AI17" s="2">
        <v>3.4000000000000002E-2</v>
      </c>
      <c r="AJ17" s="2">
        <v>6.9000000000000006E-2</v>
      </c>
      <c r="AK17" s="2">
        <v>0.57399999999999995</v>
      </c>
      <c r="AL17" s="2">
        <v>2.7000000000000003E-2</v>
      </c>
      <c r="AM17" s="2">
        <v>7.400000000000001E-2</v>
      </c>
      <c r="AN17" s="2">
        <v>4.2475467964311564E-2</v>
      </c>
    </row>
    <row r="18" spans="1:40" x14ac:dyDescent="0.25">
      <c r="A18" s="1">
        <f t="shared" si="0"/>
        <v>38139</v>
      </c>
      <c r="B18" s="2">
        <v>6.4000000000000001E-2</v>
      </c>
      <c r="C18" s="2">
        <v>7.2999999999999995E-2</v>
      </c>
      <c r="D18" s="2">
        <v>4.8000000000000001E-2</v>
      </c>
      <c r="E18" s="2">
        <v>4.7E-2</v>
      </c>
      <c r="F18" s="2">
        <v>7.400000000000001E-2</v>
      </c>
      <c r="G18" s="2">
        <v>-3.3000000000000002E-2</v>
      </c>
      <c r="H18" s="2">
        <v>2.7357534153469754E-2</v>
      </c>
      <c r="I18" s="2">
        <v>1.0181768588729323E-2</v>
      </c>
      <c r="J18" s="2">
        <v>6.7000000000000004E-2</v>
      </c>
      <c r="K18" s="2">
        <v>-7.5999999999999998E-2</v>
      </c>
      <c r="L18" s="2">
        <v>6.6000000000000003E-2</v>
      </c>
      <c r="M18" s="2">
        <v>3.4000000000000002E-2</v>
      </c>
      <c r="N18" s="2">
        <v>-0.126</v>
      </c>
      <c r="O18" s="2">
        <v>2.4E-2</v>
      </c>
      <c r="P18" s="2">
        <v>7.4999999999999997E-2</v>
      </c>
      <c r="Q18" s="2">
        <v>6.9999999999999993E-3</v>
      </c>
      <c r="R18" s="2">
        <v>2.6000000000000002E-2</v>
      </c>
      <c r="S18" s="2">
        <v>5.7999999999999996E-2</v>
      </c>
      <c r="T18" s="2">
        <v>0.11199999999999999</v>
      </c>
      <c r="U18" s="2">
        <v>5.0000000000000001E-3</v>
      </c>
      <c r="V18" s="2">
        <v>2.5000000000000001E-2</v>
      </c>
      <c r="W18" s="2">
        <v>5.4000000000000006E-2</v>
      </c>
      <c r="X18" s="2">
        <v>9.3000000000000013E-2</v>
      </c>
      <c r="Y18" s="41">
        <v>5.5514972100688675E-2</v>
      </c>
      <c r="Z18" s="2">
        <v>7.2299107451283984E-2</v>
      </c>
      <c r="AA18" s="2">
        <v>5.2999999999999999E-2</v>
      </c>
      <c r="AB18" s="2">
        <v>0.43700000000000006</v>
      </c>
      <c r="AC18" s="2">
        <v>5.0999999999999997E-2</v>
      </c>
      <c r="AD18" s="2">
        <v>9.4E-2</v>
      </c>
      <c r="AE18" s="2">
        <v>4.5999999999999999E-2</v>
      </c>
      <c r="AF18" s="2">
        <v>1.8956504376521854E-2</v>
      </c>
      <c r="AG18" s="2">
        <v>1.6E-2</v>
      </c>
      <c r="AH18" s="2">
        <v>2.1000000000000001E-2</v>
      </c>
      <c r="AI18" s="2">
        <v>3.3000000000000002E-2</v>
      </c>
      <c r="AJ18" s="2">
        <v>4.8000000000000001E-2</v>
      </c>
      <c r="AK18" s="2">
        <v>0.217</v>
      </c>
      <c r="AL18" s="2">
        <v>4.5999999999999999E-2</v>
      </c>
      <c r="AM18" s="2">
        <v>5.0999999999999997E-2</v>
      </c>
      <c r="AN18" s="2">
        <v>5.2255539459019396E-2</v>
      </c>
    </row>
    <row r="19" spans="1:40" x14ac:dyDescent="0.25">
      <c r="A19" s="1">
        <f t="shared" si="0"/>
        <v>38231</v>
      </c>
      <c r="B19" s="2">
        <v>2.7999999999999997E-2</v>
      </c>
      <c r="C19" s="2">
        <v>6.5000000000000002E-2</v>
      </c>
      <c r="D19" s="2">
        <v>0.124</v>
      </c>
      <c r="E19" s="2">
        <v>0.124</v>
      </c>
      <c r="F19" s="2">
        <v>7.5999999999999998E-2</v>
      </c>
      <c r="G19" s="2">
        <v>-0.13100000000000001</v>
      </c>
      <c r="H19" s="2">
        <v>9.0190731787533895E-3</v>
      </c>
      <c r="I19" s="2">
        <v>1.6347536604763846E-3</v>
      </c>
      <c r="J19" s="2">
        <v>2.4E-2</v>
      </c>
      <c r="K19" s="2">
        <v>-0.01</v>
      </c>
      <c r="L19" s="2">
        <v>-6.2E-2</v>
      </c>
      <c r="M19" s="2">
        <v>-2.7000000000000003E-2</v>
      </c>
      <c r="N19" s="2">
        <v>-0.34</v>
      </c>
      <c r="O19" s="2">
        <v>2.4E-2</v>
      </c>
      <c r="P19" s="2">
        <v>1.8000000000000002E-2</v>
      </c>
      <c r="Q19" s="2">
        <v>1.3999999999999999E-2</v>
      </c>
      <c r="R19" s="2">
        <v>2.3E-2</v>
      </c>
      <c r="S19" s="2">
        <v>0.03</v>
      </c>
      <c r="T19" s="2">
        <v>0.01</v>
      </c>
      <c r="U19" s="2">
        <v>-3.0000000000000001E-3</v>
      </c>
      <c r="V19" s="2">
        <v>-3.0000000000000001E-3</v>
      </c>
      <c r="W19" s="2">
        <v>6.5000000000000002E-2</v>
      </c>
      <c r="X19" s="2">
        <v>0.185</v>
      </c>
      <c r="Y19" s="41">
        <v>4.023341220232024E-2</v>
      </c>
      <c r="Z19" s="2">
        <v>4.9482711610613572E-2</v>
      </c>
      <c r="AA19" s="2">
        <v>5.5E-2</v>
      </c>
      <c r="AB19" s="2">
        <v>-0.19500000000000001</v>
      </c>
      <c r="AC19" s="2">
        <v>5.7000000000000002E-2</v>
      </c>
      <c r="AD19" s="2">
        <v>8.5000000000000006E-2</v>
      </c>
      <c r="AE19" s="2">
        <v>4.8000000000000001E-2</v>
      </c>
      <c r="AF19" s="2">
        <v>1.8980134570417251E-2</v>
      </c>
      <c r="AG19" s="2">
        <v>1.9E-2</v>
      </c>
      <c r="AH19" s="2">
        <v>1.7000000000000001E-2</v>
      </c>
      <c r="AI19" s="2">
        <v>2.8999999999999998E-2</v>
      </c>
      <c r="AJ19" s="2">
        <v>5.5E-2</v>
      </c>
      <c r="AK19" s="2">
        <v>-0.16899999999999998</v>
      </c>
      <c r="AL19" s="2">
        <v>9.1999999999999998E-2</v>
      </c>
      <c r="AM19" s="2">
        <v>0.05</v>
      </c>
      <c r="AN19" s="2">
        <v>2.606502754840867E-2</v>
      </c>
    </row>
    <row r="20" spans="1:40" x14ac:dyDescent="0.25">
      <c r="A20" s="1">
        <f t="shared" si="0"/>
        <v>38322</v>
      </c>
      <c r="B20" s="2">
        <v>-0.03</v>
      </c>
      <c r="C20" s="2">
        <v>5.2999999999999999E-2</v>
      </c>
      <c r="D20" s="2">
        <v>1.3000000000000001E-2</v>
      </c>
      <c r="E20" s="2">
        <v>1.3000000000000001E-2</v>
      </c>
      <c r="F20" s="2">
        <v>0.10400000000000001</v>
      </c>
      <c r="G20" s="2">
        <v>-0.121</v>
      </c>
      <c r="H20" s="2">
        <v>2.1779993213575377E-3</v>
      </c>
      <c r="I20" s="2">
        <v>-1.8832064677443694E-2</v>
      </c>
      <c r="J20" s="2">
        <v>4.8000000000000001E-2</v>
      </c>
      <c r="K20" s="2">
        <v>-1.3999999999999999E-2</v>
      </c>
      <c r="L20" s="2">
        <v>1.3000000000000001E-2</v>
      </c>
      <c r="M20" s="2">
        <v>-2.4E-2</v>
      </c>
      <c r="N20" s="2">
        <v>-0.30599999999999999</v>
      </c>
      <c r="O20" s="2">
        <v>1.9E-2</v>
      </c>
      <c r="P20" s="2">
        <v>-5.0999999999999997E-2</v>
      </c>
      <c r="Q20" s="2">
        <v>2.5000000000000001E-2</v>
      </c>
      <c r="R20" s="2">
        <v>-1.2E-2</v>
      </c>
      <c r="S20" s="2">
        <v>-2.1000000000000001E-2</v>
      </c>
      <c r="T20" s="2">
        <v>-2.7000000000000003E-2</v>
      </c>
      <c r="U20" s="2">
        <v>-1E-3</v>
      </c>
      <c r="V20" s="2">
        <v>-5.9000000000000004E-2</v>
      </c>
      <c r="W20" s="2">
        <v>9.3000000000000013E-2</v>
      </c>
      <c r="X20" s="2">
        <v>4.8000000000000001E-2</v>
      </c>
      <c r="Y20" s="41">
        <v>4.4141131025439373E-2</v>
      </c>
      <c r="Z20" s="2">
        <v>5.4749681130856098E-2</v>
      </c>
      <c r="AA20" s="2">
        <v>5.0999999999999997E-2</v>
      </c>
      <c r="AB20" s="2">
        <v>-0.28899999999999998</v>
      </c>
      <c r="AC20" s="2">
        <v>7.0000000000000007E-2</v>
      </c>
      <c r="AD20" s="2">
        <v>7.2999999999999995E-2</v>
      </c>
      <c r="AE20" s="2">
        <v>5.2000000000000005E-2</v>
      </c>
      <c r="AF20" s="2">
        <v>1.5723096006101001E-2</v>
      </c>
      <c r="AG20" s="2">
        <v>1.6E-2</v>
      </c>
      <c r="AH20" s="2">
        <v>1.3000000000000001E-2</v>
      </c>
      <c r="AI20" s="2">
        <v>2.7000000000000003E-2</v>
      </c>
      <c r="AJ20" s="2">
        <v>1.3999999999999999E-2</v>
      </c>
      <c r="AK20" s="2">
        <v>-0.26200000000000001</v>
      </c>
      <c r="AL20" s="2">
        <v>0.12300000000000001</v>
      </c>
      <c r="AM20" s="2">
        <v>9.0000000000000011E-3</v>
      </c>
      <c r="AN20" s="2">
        <v>7.4173382902824603E-3</v>
      </c>
    </row>
    <row r="21" spans="1:40" x14ac:dyDescent="0.25">
      <c r="A21" s="1">
        <f t="shared" si="0"/>
        <v>38412</v>
      </c>
      <c r="B21" s="2">
        <v>-1.4999999999999999E-2</v>
      </c>
      <c r="C21" s="2">
        <v>3.9E-2</v>
      </c>
      <c r="D21" s="2">
        <v>4.4000000000000004E-2</v>
      </c>
      <c r="E21" s="2">
        <v>4.2999999999999997E-2</v>
      </c>
      <c r="F21" s="2">
        <v>0.12</v>
      </c>
      <c r="G21" s="2">
        <v>-0.185</v>
      </c>
      <c r="H21" s="2">
        <v>1.5692844048279753E-2</v>
      </c>
      <c r="I21" s="2">
        <v>-2.361657016215879E-2</v>
      </c>
      <c r="J21" s="2">
        <v>9.6999999999999989E-2</v>
      </c>
      <c r="K21" s="2">
        <v>-8.900000000000001E-2</v>
      </c>
      <c r="L21" s="2">
        <v>-6.3E-2</v>
      </c>
      <c r="M21" s="2">
        <v>-1.2E-2</v>
      </c>
      <c r="N21" s="2">
        <v>-0.501</v>
      </c>
      <c r="O21" s="2">
        <v>9.0000000000000011E-3</v>
      </c>
      <c r="P21" s="2">
        <v>4.2000000000000003E-2</v>
      </c>
      <c r="Q21" s="2">
        <v>5.0999999999999997E-2</v>
      </c>
      <c r="R21" s="2">
        <v>-1E-3</v>
      </c>
      <c r="S21" s="2">
        <v>8.900000000000001E-2</v>
      </c>
      <c r="T21" s="2">
        <v>0.04</v>
      </c>
      <c r="U21" s="2">
        <v>0.02</v>
      </c>
      <c r="V21" s="2">
        <v>-0.11199999999999999</v>
      </c>
      <c r="W21" s="2">
        <v>0.13600000000000001</v>
      </c>
      <c r="X21" s="2">
        <v>0.19899999999999998</v>
      </c>
      <c r="Y21" s="41">
        <v>5.8046230062960946E-2</v>
      </c>
      <c r="Z21" s="2">
        <v>7.7956308030999288E-2</v>
      </c>
      <c r="AA21" s="2">
        <v>5.4000000000000006E-2</v>
      </c>
      <c r="AB21" s="2">
        <v>0.439</v>
      </c>
      <c r="AC21" s="2">
        <v>0.09</v>
      </c>
      <c r="AD21" s="2">
        <v>5.7999999999999996E-2</v>
      </c>
      <c r="AE21" s="2">
        <v>5.7000000000000002E-2</v>
      </c>
      <c r="AF21" s="2">
        <v>6.0863973784828218E-3</v>
      </c>
      <c r="AG21" s="2">
        <v>3.0000000000000001E-3</v>
      </c>
      <c r="AH21" s="2">
        <v>6.9999999999999993E-3</v>
      </c>
      <c r="AI21" s="2">
        <v>2.4E-2</v>
      </c>
      <c r="AJ21" s="2">
        <v>3.9E-2</v>
      </c>
      <c r="AK21" s="2">
        <v>7.0000000000000007E-2</v>
      </c>
      <c r="AL21" s="2">
        <v>0.105</v>
      </c>
      <c r="AM21" s="2">
        <v>4.4000000000000004E-2</v>
      </c>
      <c r="AN21" s="2">
        <v>4.4228989898088766E-2</v>
      </c>
    </row>
    <row r="22" spans="1:40" x14ac:dyDescent="0.25">
      <c r="A22" s="1">
        <f t="shared" si="0"/>
        <v>38504</v>
      </c>
      <c r="B22" s="2">
        <v>-3.0000000000000001E-3</v>
      </c>
      <c r="C22" s="2">
        <v>3.9E-2</v>
      </c>
      <c r="D22" s="2">
        <v>0.18899999999999997</v>
      </c>
      <c r="E22" s="2">
        <v>0.19</v>
      </c>
      <c r="F22" s="2">
        <v>0.124</v>
      </c>
      <c r="G22" s="2">
        <v>-0.182</v>
      </c>
      <c r="H22" s="2">
        <v>5.8543639437844686E-3</v>
      </c>
      <c r="I22" s="2">
        <v>-3.3996782592014219E-2</v>
      </c>
      <c r="J22" s="2">
        <v>8.900000000000001E-2</v>
      </c>
      <c r="K22" s="2">
        <v>-1.9E-2</v>
      </c>
      <c r="L22" s="2">
        <v>-1.3999999999999999E-2</v>
      </c>
      <c r="M22" s="2">
        <v>-2.5000000000000001E-2</v>
      </c>
      <c r="N22" s="2">
        <v>-0.44600000000000001</v>
      </c>
      <c r="O22" s="2">
        <v>1.2E-2</v>
      </c>
      <c r="P22" s="2">
        <v>-6.5000000000000002E-2</v>
      </c>
      <c r="Q22" s="2">
        <v>3.9E-2</v>
      </c>
      <c r="R22" s="2">
        <v>-2.6000000000000002E-2</v>
      </c>
      <c r="S22" s="2">
        <v>-5.5999999999999994E-2</v>
      </c>
      <c r="T22" s="2">
        <v>-4.8000000000000001E-2</v>
      </c>
      <c r="U22" s="2">
        <v>1.8000000000000002E-2</v>
      </c>
      <c r="V22" s="2">
        <v>-0.13900000000000001</v>
      </c>
      <c r="W22" s="2">
        <v>8.5999999999999993E-2</v>
      </c>
      <c r="X22" s="2">
        <v>6.4000000000000001E-2</v>
      </c>
      <c r="Y22" s="41">
        <v>2.8629629586170324E-2</v>
      </c>
      <c r="Z22" s="2">
        <v>3.7975413903259092E-2</v>
      </c>
      <c r="AA22" s="2">
        <v>4.5999999999999999E-2</v>
      </c>
      <c r="AB22" s="2">
        <v>-0.47299999999999998</v>
      </c>
      <c r="AC22" s="2">
        <v>0.10300000000000001</v>
      </c>
      <c r="AD22" s="2">
        <v>5.5999999999999994E-2</v>
      </c>
      <c r="AE22" s="2">
        <v>0.06</v>
      </c>
      <c r="AF22" s="2">
        <v>3.7568367608882269E-3</v>
      </c>
      <c r="AG22" s="2">
        <v>-1E-3</v>
      </c>
      <c r="AH22" s="2">
        <v>6.9999999999999993E-3</v>
      </c>
      <c r="AI22" s="2">
        <v>2.3E-2</v>
      </c>
      <c r="AJ22" s="2">
        <v>5.7000000000000002E-2</v>
      </c>
      <c r="AK22" s="2">
        <v>9.5000000000000001E-2</v>
      </c>
      <c r="AL22" s="2">
        <v>7.400000000000001E-2</v>
      </c>
      <c r="AM22" s="2">
        <v>5.9000000000000004E-2</v>
      </c>
      <c r="AN22" s="2">
        <v>1.1006894048209981E-2</v>
      </c>
    </row>
    <row r="23" spans="1:40" x14ac:dyDescent="0.25">
      <c r="A23" s="1">
        <f t="shared" si="0"/>
        <v>38596</v>
      </c>
      <c r="B23" s="2">
        <v>3.1E-2</v>
      </c>
      <c r="C23" s="2">
        <v>5.5E-2</v>
      </c>
      <c r="D23" s="2">
        <v>5.7000000000000002E-2</v>
      </c>
      <c r="E23" s="2">
        <v>5.7000000000000002E-2</v>
      </c>
      <c r="F23" s="2">
        <v>9.9000000000000005E-2</v>
      </c>
      <c r="G23" s="2">
        <v>-0.12</v>
      </c>
      <c r="H23" s="2">
        <v>2.5469618295801411E-2</v>
      </c>
      <c r="I23" s="2">
        <v>-1.1074909263441013E-2</v>
      </c>
      <c r="J23" s="2">
        <v>0.10300000000000001</v>
      </c>
      <c r="K23" s="2">
        <v>-5.7000000000000002E-2</v>
      </c>
      <c r="L23" s="2">
        <v>4.2999999999999997E-2</v>
      </c>
      <c r="M23" s="2">
        <v>2.6000000000000002E-2</v>
      </c>
      <c r="N23" s="2">
        <v>-0.36</v>
      </c>
      <c r="O23" s="2">
        <v>2.7999999999999997E-2</v>
      </c>
      <c r="P23" s="2">
        <v>4.9000000000000002E-2</v>
      </c>
      <c r="Q23" s="2">
        <v>4.0000000000000001E-3</v>
      </c>
      <c r="R23" s="2">
        <v>-1.4999999999999999E-2</v>
      </c>
      <c r="S23" s="2">
        <v>-6.5000000000000002E-2</v>
      </c>
      <c r="T23" s="2">
        <v>4.0999999999999995E-2</v>
      </c>
      <c r="U23" s="2">
        <v>1.4999999999999999E-2</v>
      </c>
      <c r="V23" s="2">
        <v>-0.128</v>
      </c>
      <c r="W23" s="2">
        <v>8.5000000000000006E-2</v>
      </c>
      <c r="X23" s="2">
        <v>-1.3000000000000001E-2</v>
      </c>
      <c r="Y23" s="41">
        <v>6.1220361686579849E-2</v>
      </c>
      <c r="Z23" s="2">
        <v>8.3348950687617274E-2</v>
      </c>
      <c r="AA23" s="2">
        <v>4.8000000000000001E-2</v>
      </c>
      <c r="AB23" s="2">
        <v>0.753</v>
      </c>
      <c r="AC23" s="2">
        <v>0.10400000000000001</v>
      </c>
      <c r="AD23" s="2">
        <v>6.7000000000000004E-2</v>
      </c>
      <c r="AE23" s="2">
        <v>5.7999999999999996E-2</v>
      </c>
      <c r="AF23" s="2">
        <v>9.608171239444907E-3</v>
      </c>
      <c r="AG23" s="2">
        <v>6.0000000000000001E-3</v>
      </c>
      <c r="AH23" s="2">
        <v>1.2E-2</v>
      </c>
      <c r="AI23" s="2">
        <v>2.6000000000000002E-2</v>
      </c>
      <c r="AJ23" s="2">
        <v>3.6000000000000004E-2</v>
      </c>
      <c r="AK23" s="2">
        <v>4.8000000000000001E-2</v>
      </c>
      <c r="AL23" s="2">
        <v>0.09</v>
      </c>
      <c r="AM23" s="2">
        <v>3.9E-2</v>
      </c>
      <c r="AN23" s="2">
        <v>3.1306370171655828E-2</v>
      </c>
    </row>
    <row r="24" spans="1:40" x14ac:dyDescent="0.25">
      <c r="A24" s="1">
        <f t="shared" si="0"/>
        <v>38687</v>
      </c>
      <c r="B24" s="2">
        <v>0.106</v>
      </c>
      <c r="C24" s="2">
        <v>0.09</v>
      </c>
      <c r="D24" s="2">
        <v>0.106</v>
      </c>
      <c r="E24" s="2">
        <v>0.106</v>
      </c>
      <c r="F24" s="2">
        <v>4.4000000000000004E-2</v>
      </c>
      <c r="G24" s="2">
        <v>-2.7999999999999997E-2</v>
      </c>
      <c r="H24" s="2">
        <v>5.2380844275072391E-2</v>
      </c>
      <c r="I24" s="2">
        <v>3.8791159336994063E-2</v>
      </c>
      <c r="J24" s="2">
        <v>8.199999999999999E-2</v>
      </c>
      <c r="K24" s="2">
        <v>1.8000000000000002E-2</v>
      </c>
      <c r="L24" s="2">
        <v>1.9E-2</v>
      </c>
      <c r="M24" s="2">
        <v>2.4E-2</v>
      </c>
      <c r="N24" s="2">
        <v>-0.154</v>
      </c>
      <c r="O24" s="2">
        <v>5.7000000000000002E-2</v>
      </c>
      <c r="P24" s="2">
        <v>0.21100000000000002</v>
      </c>
      <c r="Q24" s="2">
        <v>-5.5E-2</v>
      </c>
      <c r="R24" s="2">
        <v>1.3999999999999999E-2</v>
      </c>
      <c r="S24" s="2">
        <v>-8.5000000000000006E-2</v>
      </c>
      <c r="T24" s="2">
        <v>-3.6000000000000004E-2</v>
      </c>
      <c r="U24" s="2">
        <v>-2.3E-2</v>
      </c>
      <c r="V24" s="2">
        <v>-0.08</v>
      </c>
      <c r="W24" s="2">
        <v>0.05</v>
      </c>
      <c r="X24" s="2">
        <v>0.20800000000000002</v>
      </c>
      <c r="Y24" s="41">
        <v>5.8994556523573882E-2</v>
      </c>
      <c r="Z24" s="2">
        <v>7.4604741262265684E-2</v>
      </c>
      <c r="AA24" s="2">
        <v>3.5000000000000003E-2</v>
      </c>
      <c r="AB24" s="2">
        <v>1.409</v>
      </c>
      <c r="AC24" s="2">
        <v>0.1</v>
      </c>
      <c r="AD24" s="2">
        <v>9.3000000000000013E-2</v>
      </c>
      <c r="AE24" s="2">
        <v>5.4000000000000006E-2</v>
      </c>
      <c r="AF24" s="2">
        <v>2.4398733550711871E-2</v>
      </c>
      <c r="AG24" s="2">
        <v>2.4E-2</v>
      </c>
      <c r="AH24" s="2">
        <v>2.4E-2</v>
      </c>
      <c r="AI24" s="2">
        <v>0.03</v>
      </c>
      <c r="AJ24" s="2">
        <v>8.5999999999999993E-2</v>
      </c>
      <c r="AK24" s="2">
        <v>-0.23199999999999998</v>
      </c>
      <c r="AL24" s="2">
        <v>-2E-3</v>
      </c>
      <c r="AM24" s="2">
        <v>7.2999999999999995E-2</v>
      </c>
      <c r="AN24" s="2">
        <v>5.7569699746369274E-2</v>
      </c>
    </row>
    <row r="25" spans="1:40" x14ac:dyDescent="0.25">
      <c r="A25" s="1">
        <f t="shared" si="0"/>
        <v>38777</v>
      </c>
      <c r="B25" s="2">
        <v>0.10300000000000001</v>
      </c>
      <c r="C25" s="2">
        <v>0.14000000000000001</v>
      </c>
      <c r="D25" s="2">
        <v>-2.3E-2</v>
      </c>
      <c r="E25" s="2">
        <v>-2.3E-2</v>
      </c>
      <c r="F25" s="2">
        <v>1.3999999999999999E-2</v>
      </c>
      <c r="G25" s="2">
        <v>-5.0000000000000001E-3</v>
      </c>
      <c r="H25" s="2">
        <v>2.2005715783343538E-2</v>
      </c>
      <c r="I25" s="2">
        <v>1.6092884172597577E-2</v>
      </c>
      <c r="J25" s="2">
        <v>3.4000000000000002E-2</v>
      </c>
      <c r="K25" s="2">
        <v>-2E-3</v>
      </c>
      <c r="L25" s="2">
        <v>3.3000000000000002E-2</v>
      </c>
      <c r="M25" s="2">
        <v>3.7000000000000005E-2</v>
      </c>
      <c r="N25" s="2">
        <v>4.8000000000000001E-2</v>
      </c>
      <c r="O25" s="2">
        <v>9.9000000000000005E-2</v>
      </c>
      <c r="P25" s="2">
        <v>6.7000000000000004E-2</v>
      </c>
      <c r="Q25" s="2">
        <v>-0.14300000000000002</v>
      </c>
      <c r="R25" s="2">
        <v>-6.9999999999999993E-3</v>
      </c>
      <c r="S25" s="2">
        <v>-9.4E-2</v>
      </c>
      <c r="T25" s="2">
        <v>3.7999999999999999E-2</v>
      </c>
      <c r="U25" s="2">
        <v>2.5000000000000001E-2</v>
      </c>
      <c r="V25" s="2">
        <v>-4.8000000000000001E-2</v>
      </c>
      <c r="W25" s="2">
        <v>3.9E-2</v>
      </c>
      <c r="X25" s="2">
        <v>7.6999999999999999E-2</v>
      </c>
      <c r="Y25" s="41">
        <v>5.3347668707936613E-2</v>
      </c>
      <c r="Z25" s="2">
        <v>5.4639449305506016E-2</v>
      </c>
      <c r="AA25" s="2">
        <v>0.04</v>
      </c>
      <c r="AB25" s="2">
        <v>4.5999999999999999E-2</v>
      </c>
      <c r="AC25" s="2">
        <v>6.9000000000000006E-2</v>
      </c>
      <c r="AD25" s="2">
        <v>0.13</v>
      </c>
      <c r="AE25" s="2">
        <v>4.4000000000000004E-2</v>
      </c>
      <c r="AF25" s="2">
        <v>4.9708459726000687E-2</v>
      </c>
      <c r="AG25" s="2">
        <v>5.5E-2</v>
      </c>
      <c r="AH25" s="2">
        <v>4.4000000000000004E-2</v>
      </c>
      <c r="AI25" s="2">
        <v>3.7999999999999999E-2</v>
      </c>
      <c r="AJ25" s="2">
        <v>2.5000000000000001E-2</v>
      </c>
      <c r="AK25" s="2">
        <v>-0.28600000000000003</v>
      </c>
      <c r="AL25" s="2">
        <v>4.0000000000000001E-3</v>
      </c>
      <c r="AM25" s="2">
        <v>1.8000000000000002E-2</v>
      </c>
      <c r="AN25" s="2">
        <v>3.6090703657347012E-2</v>
      </c>
    </row>
    <row r="26" spans="1:40" x14ac:dyDescent="0.25">
      <c r="A26" s="1">
        <f t="shared" si="0"/>
        <v>38869</v>
      </c>
      <c r="B26" s="2">
        <v>0.10099999999999999</v>
      </c>
      <c r="C26" s="2">
        <v>0.16899999999999998</v>
      </c>
      <c r="D26" s="2">
        <v>-5.5999999999999994E-2</v>
      </c>
      <c r="E26" s="2">
        <v>-5.5999999999999994E-2</v>
      </c>
      <c r="F26" s="2">
        <v>-3.0000000000000001E-3</v>
      </c>
      <c r="G26" s="2">
        <v>1.4999999999999999E-2</v>
      </c>
      <c r="H26" s="2">
        <v>1.5944519505989518E-2</v>
      </c>
      <c r="I26" s="2">
        <v>1.4952922630159904E-2</v>
      </c>
      <c r="J26" s="2">
        <v>1.8000000000000002E-2</v>
      </c>
      <c r="K26" s="2">
        <v>-0.03</v>
      </c>
      <c r="L26" s="2">
        <v>2E-3</v>
      </c>
      <c r="M26" s="2">
        <v>2.1000000000000001E-2</v>
      </c>
      <c r="N26" s="2">
        <v>-0.01</v>
      </c>
      <c r="O26" s="2">
        <v>0.11599999999999999</v>
      </c>
      <c r="P26" s="2">
        <v>0.08</v>
      </c>
      <c r="Q26" s="2">
        <v>-0.187</v>
      </c>
      <c r="R26" s="2">
        <v>2.3E-2</v>
      </c>
      <c r="S26" s="2">
        <v>6.2E-2</v>
      </c>
      <c r="T26" s="2">
        <v>7.2999999999999995E-2</v>
      </c>
      <c r="U26" s="2">
        <v>2.6000000000000002E-2</v>
      </c>
      <c r="V26" s="2">
        <v>-2.4E-2</v>
      </c>
      <c r="W26" s="2">
        <v>3.4000000000000002E-2</v>
      </c>
      <c r="X26" s="2">
        <v>0.24100000000000002</v>
      </c>
      <c r="Y26" s="41">
        <v>5.8812127654894741E-2</v>
      </c>
      <c r="Z26" s="2">
        <v>5.4874734892040644E-2</v>
      </c>
      <c r="AA26" s="2">
        <v>5.4000000000000006E-2</v>
      </c>
      <c r="AB26" s="2">
        <v>0.09</v>
      </c>
      <c r="AC26" s="2">
        <v>0.06</v>
      </c>
      <c r="AD26" s="2">
        <v>0.15</v>
      </c>
      <c r="AE26" s="2">
        <v>3.9E-2</v>
      </c>
      <c r="AF26" s="2">
        <v>7.0151465317805251E-2</v>
      </c>
      <c r="AG26" s="2">
        <v>8.1000000000000003E-2</v>
      </c>
      <c r="AH26" s="2">
        <v>5.9000000000000004E-2</v>
      </c>
      <c r="AI26" s="2">
        <v>4.4000000000000004E-2</v>
      </c>
      <c r="AJ26" s="2">
        <v>2.8999999999999998E-2</v>
      </c>
      <c r="AK26" s="2">
        <v>-7.5999999999999998E-2</v>
      </c>
      <c r="AL26" s="2">
        <v>3.6000000000000004E-2</v>
      </c>
      <c r="AM26" s="2">
        <v>2.7999999999999997E-2</v>
      </c>
      <c r="AN26" s="2">
        <v>6.8730253778026551E-2</v>
      </c>
    </row>
    <row r="27" spans="1:40" x14ac:dyDescent="0.25">
      <c r="A27" s="1">
        <f t="shared" si="0"/>
        <v>38961</v>
      </c>
      <c r="B27" s="2">
        <v>9.6000000000000002E-2</v>
      </c>
      <c r="C27" s="2">
        <v>0.17300000000000001</v>
      </c>
      <c r="D27" s="2">
        <v>-5.2000000000000005E-2</v>
      </c>
      <c r="E27" s="2">
        <v>-5.2000000000000005E-2</v>
      </c>
      <c r="F27" s="2">
        <v>1.6E-2</v>
      </c>
      <c r="G27" s="2">
        <v>0.129</v>
      </c>
      <c r="H27" s="2">
        <v>3.2448855587037695E-2</v>
      </c>
      <c r="I27" s="2">
        <v>3.9067661188703973E-2</v>
      </c>
      <c r="J27" s="2">
        <v>1.9E-2</v>
      </c>
      <c r="K27" s="2">
        <v>6.0000000000000001E-3</v>
      </c>
      <c r="L27" s="2">
        <v>-3.1E-2</v>
      </c>
      <c r="M27" s="2">
        <v>2.5000000000000001E-2</v>
      </c>
      <c r="N27" s="2">
        <v>0.311</v>
      </c>
      <c r="O27" s="2">
        <v>0.10800000000000001</v>
      </c>
      <c r="P27" s="2">
        <v>7.2999999999999995E-2</v>
      </c>
      <c r="Q27" s="2">
        <v>-0.19399999999999998</v>
      </c>
      <c r="R27" s="2">
        <v>9.0999999999999998E-2</v>
      </c>
      <c r="S27" s="2">
        <v>6.0999999999999999E-2</v>
      </c>
      <c r="T27" s="2">
        <v>0.115</v>
      </c>
      <c r="U27" s="2">
        <v>5.2000000000000005E-2</v>
      </c>
      <c r="V27" s="2">
        <v>7.0000000000000007E-2</v>
      </c>
      <c r="W27" s="2">
        <v>2.4E-2</v>
      </c>
      <c r="X27" s="2">
        <v>0.18899999999999997</v>
      </c>
      <c r="Y27" s="41">
        <v>5.831688932280521E-2</v>
      </c>
      <c r="Z27" s="2">
        <v>5.5925260782824893E-2</v>
      </c>
      <c r="AA27" s="2">
        <v>0.06</v>
      </c>
      <c r="AB27" s="2">
        <v>0.13500000000000001</v>
      </c>
      <c r="AC27" s="2">
        <v>5.9000000000000004E-2</v>
      </c>
      <c r="AD27" s="2">
        <v>0.152</v>
      </c>
      <c r="AE27" s="2">
        <v>3.4000000000000002E-2</v>
      </c>
      <c r="AF27" s="2">
        <v>6.4811200567608473E-2</v>
      </c>
      <c r="AG27" s="2">
        <v>7.2999999999999995E-2</v>
      </c>
      <c r="AH27" s="2">
        <v>5.5999999999999994E-2</v>
      </c>
      <c r="AI27" s="2">
        <v>4.5999999999999999E-2</v>
      </c>
      <c r="AJ27" s="2">
        <v>3.6000000000000004E-2</v>
      </c>
      <c r="AK27" s="2">
        <v>-0.13</v>
      </c>
      <c r="AL27" s="2">
        <v>2.7999999999999997E-2</v>
      </c>
      <c r="AM27" s="2">
        <v>3.2000000000000001E-2</v>
      </c>
      <c r="AN27" s="2">
        <v>7.3711380508602486E-2</v>
      </c>
    </row>
    <row r="28" spans="1:40" x14ac:dyDescent="0.25">
      <c r="A28" s="1">
        <f t="shared" si="0"/>
        <v>39052</v>
      </c>
      <c r="B28" s="2">
        <v>4.9000000000000002E-2</v>
      </c>
      <c r="C28" s="2">
        <v>0.156</v>
      </c>
      <c r="D28" s="2">
        <v>-2.1000000000000001E-2</v>
      </c>
      <c r="E28" s="2">
        <v>-2.1000000000000001E-2</v>
      </c>
      <c r="F28" s="2">
        <v>5.0000000000000001E-3</v>
      </c>
      <c r="G28" s="2">
        <v>4.4000000000000004E-2</v>
      </c>
      <c r="H28" s="2">
        <v>4.1889772644961631E-2</v>
      </c>
      <c r="I28" s="2">
        <v>4.9041888936368405E-2</v>
      </c>
      <c r="J28" s="2">
        <v>2.7000000000000003E-2</v>
      </c>
      <c r="K28" s="2">
        <v>5.9000000000000004E-2</v>
      </c>
      <c r="L28" s="2">
        <v>-2.7000000000000003E-2</v>
      </c>
      <c r="M28" s="2">
        <v>5.2999999999999999E-2</v>
      </c>
      <c r="N28" s="2">
        <v>-2.2000000000000002E-2</v>
      </c>
      <c r="O28" s="2">
        <v>7.6999999999999999E-2</v>
      </c>
      <c r="P28" s="2">
        <v>3.7000000000000005E-2</v>
      </c>
      <c r="Q28" s="2">
        <v>-0.14899999999999999</v>
      </c>
      <c r="R28" s="2">
        <v>0.14000000000000001</v>
      </c>
      <c r="S28" s="2">
        <v>3.5000000000000003E-2</v>
      </c>
      <c r="T28" s="2">
        <v>-6.0000000000000001E-3</v>
      </c>
      <c r="U28" s="2">
        <v>1.8000000000000002E-2</v>
      </c>
      <c r="V28" s="2">
        <v>0.107</v>
      </c>
      <c r="W28" s="2">
        <v>3.7999999999999999E-2</v>
      </c>
      <c r="X28" s="2">
        <v>0.17199999999999999</v>
      </c>
      <c r="Y28" s="41">
        <v>5.8401428625496798E-2</v>
      </c>
      <c r="Z28" s="2">
        <v>5.6799120956658289E-2</v>
      </c>
      <c r="AA28" s="2">
        <v>7.400000000000001E-2</v>
      </c>
      <c r="AB28" s="2">
        <v>7.2999999999999995E-2</v>
      </c>
      <c r="AC28" s="2">
        <v>5.5999999999999994E-2</v>
      </c>
      <c r="AD28" s="2">
        <v>0.13600000000000001</v>
      </c>
      <c r="AE28" s="2">
        <v>3.3000000000000002E-2</v>
      </c>
      <c r="AF28" s="2">
        <v>6.2564042382884155E-2</v>
      </c>
      <c r="AG28" s="2">
        <v>7.0999999999999994E-2</v>
      </c>
      <c r="AH28" s="2">
        <v>5.2999999999999999E-2</v>
      </c>
      <c r="AI28" s="2">
        <v>4.7E-2</v>
      </c>
      <c r="AJ28" s="2">
        <v>3.7000000000000005E-2</v>
      </c>
      <c r="AK28" s="2">
        <v>-5.7999999999999996E-2</v>
      </c>
      <c r="AL28" s="2">
        <v>5.7000000000000002E-2</v>
      </c>
      <c r="AM28" s="2">
        <v>3.7000000000000005E-2</v>
      </c>
      <c r="AN28" s="2">
        <v>6.8528744984608814E-2</v>
      </c>
    </row>
    <row r="29" spans="1:40" x14ac:dyDescent="0.25">
      <c r="A29" s="1">
        <f t="shared" si="0"/>
        <v>39142</v>
      </c>
      <c r="B29" s="2">
        <v>5.5999999999999994E-2</v>
      </c>
      <c r="C29" s="2">
        <v>0.124</v>
      </c>
      <c r="D29" s="2">
        <v>-1.2E-2</v>
      </c>
      <c r="E29" s="2">
        <v>-1.2E-2</v>
      </c>
      <c r="F29" s="2">
        <v>1.9E-2</v>
      </c>
      <c r="G29" s="2">
        <v>6.3E-2</v>
      </c>
      <c r="H29" s="2">
        <v>5.4590973801507792E-2</v>
      </c>
      <c r="I29" s="2">
        <v>5.7965391579827275E-2</v>
      </c>
      <c r="J29" s="2">
        <v>4.8000000000000001E-2</v>
      </c>
      <c r="K29" s="2">
        <v>3.9E-2</v>
      </c>
      <c r="L29" s="2">
        <v>-4.2000000000000003E-2</v>
      </c>
      <c r="M29" s="2">
        <v>5.2999999999999999E-2</v>
      </c>
      <c r="N29" s="2">
        <v>8.900000000000001E-2</v>
      </c>
      <c r="O29" s="2">
        <v>2.4E-2</v>
      </c>
      <c r="P29" s="2">
        <v>0.106</v>
      </c>
      <c r="Q29" s="2">
        <v>-7.0999999999999994E-2</v>
      </c>
      <c r="R29" s="2">
        <v>0.17800000000000002</v>
      </c>
      <c r="S29" s="2">
        <v>3.7999999999999999E-2</v>
      </c>
      <c r="T29" s="2">
        <v>7.5999999999999998E-2</v>
      </c>
      <c r="U29" s="2">
        <v>5.5E-2</v>
      </c>
      <c r="V29" s="2">
        <v>0.106</v>
      </c>
      <c r="W29" s="2">
        <v>1.6E-2</v>
      </c>
      <c r="X29" s="2">
        <v>0.193</v>
      </c>
      <c r="Y29" s="41">
        <v>5.1390752578661214E-2</v>
      </c>
      <c r="Z29" s="2">
        <v>5.5591089529659188E-2</v>
      </c>
      <c r="AA29" s="2">
        <v>7.4999999999999997E-2</v>
      </c>
      <c r="AB29" s="2">
        <v>2.6000000000000002E-2</v>
      </c>
      <c r="AC29" s="2">
        <v>5.5E-2</v>
      </c>
      <c r="AD29" s="2">
        <v>0.11199999999999999</v>
      </c>
      <c r="AE29" s="2">
        <v>3.3000000000000002E-2</v>
      </c>
      <c r="AF29" s="2">
        <v>3.8366116551691754E-2</v>
      </c>
      <c r="AG29" s="2">
        <v>0.04</v>
      </c>
      <c r="AH29" s="2">
        <v>3.5000000000000003E-2</v>
      </c>
      <c r="AI29" s="2">
        <v>4.2999999999999997E-2</v>
      </c>
      <c r="AJ29" s="2">
        <v>0.04</v>
      </c>
      <c r="AK29" s="2">
        <v>0.27</v>
      </c>
      <c r="AL29" s="2">
        <v>6.2E-2</v>
      </c>
      <c r="AM29" s="2">
        <v>4.4000000000000004E-2</v>
      </c>
      <c r="AN29" s="2">
        <v>7.3663932881975258E-2</v>
      </c>
    </row>
    <row r="30" spans="1:40" x14ac:dyDescent="0.25">
      <c r="A30" s="1">
        <f t="shared" si="0"/>
        <v>39234</v>
      </c>
      <c r="B30" s="2">
        <v>3.6000000000000004E-2</v>
      </c>
      <c r="C30" s="2">
        <v>9.3000000000000013E-2</v>
      </c>
      <c r="D30" s="2">
        <v>-1.1000000000000001E-2</v>
      </c>
      <c r="E30" s="2">
        <v>-1.1000000000000001E-2</v>
      </c>
      <c r="F30" s="2">
        <v>1.2E-2</v>
      </c>
      <c r="G30" s="2">
        <v>3.2000000000000001E-2</v>
      </c>
      <c r="H30" s="2">
        <v>6.6323287562786382E-2</v>
      </c>
      <c r="I30" s="2">
        <v>6.8527009898125435E-2</v>
      </c>
      <c r="J30" s="2">
        <v>6.2E-2</v>
      </c>
      <c r="K30" s="2">
        <v>4.7E-2</v>
      </c>
      <c r="L30" s="2">
        <v>6.9999999999999993E-3</v>
      </c>
      <c r="M30" s="2">
        <v>5.4000000000000006E-2</v>
      </c>
      <c r="N30" s="2">
        <v>-6.9999999999999993E-3</v>
      </c>
      <c r="O30" s="2">
        <v>-4.0000000000000001E-3</v>
      </c>
      <c r="P30" s="2">
        <v>0.152</v>
      </c>
      <c r="Q30" s="2">
        <v>-4.0000000000000001E-3</v>
      </c>
      <c r="R30" s="2">
        <v>0.157</v>
      </c>
      <c r="S30" s="2">
        <v>5.7000000000000002E-2</v>
      </c>
      <c r="T30" s="2">
        <v>4.8000000000000001E-2</v>
      </c>
      <c r="U30" s="2">
        <v>5.5999999999999994E-2</v>
      </c>
      <c r="V30" s="2">
        <v>0.109</v>
      </c>
      <c r="W30" s="2">
        <v>5.0999999999999997E-2</v>
      </c>
      <c r="X30" s="2">
        <v>0.105</v>
      </c>
      <c r="Y30" s="41">
        <v>4.5931032405052807E-2</v>
      </c>
      <c r="Z30" s="2">
        <v>5.4504017024701756E-2</v>
      </c>
      <c r="AA30" s="2">
        <v>7.8E-2</v>
      </c>
      <c r="AB30" s="2">
        <v>-4.5999999999999999E-2</v>
      </c>
      <c r="AC30" s="2">
        <v>5.2999999999999999E-2</v>
      </c>
      <c r="AD30" s="2">
        <v>8.5999999999999993E-2</v>
      </c>
      <c r="AE30" s="2">
        <v>3.7000000000000005E-2</v>
      </c>
      <c r="AF30" s="2">
        <v>2.3473156760484448E-2</v>
      </c>
      <c r="AG30" s="2">
        <v>2.1000000000000001E-2</v>
      </c>
      <c r="AH30" s="2">
        <v>2.4E-2</v>
      </c>
      <c r="AI30" s="2">
        <v>4.2000000000000003E-2</v>
      </c>
      <c r="AJ30" s="2">
        <v>2.8999999999999998E-2</v>
      </c>
      <c r="AK30" s="2">
        <v>-5.5999999999999994E-2</v>
      </c>
      <c r="AL30" s="2">
        <v>0.04</v>
      </c>
      <c r="AM30" s="2">
        <v>2.7999999999999997E-2</v>
      </c>
      <c r="AN30" s="2">
        <v>4.9329129629201773E-2</v>
      </c>
    </row>
    <row r="31" spans="1:40" x14ac:dyDescent="0.25">
      <c r="A31" s="1">
        <f t="shared" si="0"/>
        <v>39326</v>
      </c>
      <c r="B31" s="2">
        <v>1E-3</v>
      </c>
      <c r="C31" s="2">
        <v>6.9000000000000006E-2</v>
      </c>
      <c r="D31" s="2">
        <v>4.5999999999999999E-2</v>
      </c>
      <c r="E31" s="2">
        <v>4.5999999999999999E-2</v>
      </c>
      <c r="F31" s="2">
        <v>-6.9999999999999993E-3</v>
      </c>
      <c r="G31" s="2">
        <v>2.5000000000000001E-2</v>
      </c>
      <c r="H31" s="2">
        <v>6.2148340566850813E-2</v>
      </c>
      <c r="I31" s="2">
        <v>5.3470774949295086E-2</v>
      </c>
      <c r="J31" s="2">
        <v>7.9000000000000001E-2</v>
      </c>
      <c r="K31" s="2">
        <v>4.2000000000000003E-2</v>
      </c>
      <c r="L31" s="2">
        <v>5.5999999999999994E-2</v>
      </c>
      <c r="M31" s="2">
        <v>5.7999999999999996E-2</v>
      </c>
      <c r="N31" s="2">
        <v>-1.8000000000000002E-2</v>
      </c>
      <c r="O31" s="2">
        <v>-9.0000000000000011E-3</v>
      </c>
      <c r="P31" s="2">
        <v>6.2E-2</v>
      </c>
      <c r="Q31" s="2">
        <v>5.2000000000000005E-2</v>
      </c>
      <c r="R31" s="2">
        <v>0.16200000000000001</v>
      </c>
      <c r="S31" s="2">
        <v>0.106</v>
      </c>
      <c r="T31" s="2">
        <v>8.900000000000001E-2</v>
      </c>
      <c r="U31" s="2">
        <v>6.7000000000000004E-2</v>
      </c>
      <c r="V31" s="2">
        <v>5.9000000000000004E-2</v>
      </c>
      <c r="W31" s="2">
        <v>5.4000000000000006E-2</v>
      </c>
      <c r="X31" s="2">
        <v>0.05</v>
      </c>
      <c r="Y31" s="41">
        <v>4.916578521791215E-2</v>
      </c>
      <c r="Z31" s="2">
        <v>5.9663985358983762E-2</v>
      </c>
      <c r="AA31" s="2">
        <v>9.0999999999999998E-2</v>
      </c>
      <c r="AB31" s="2">
        <v>7.5999999999999998E-2</v>
      </c>
      <c r="AC31" s="2">
        <v>4.2999999999999997E-2</v>
      </c>
      <c r="AD31" s="2">
        <v>6.9000000000000006E-2</v>
      </c>
      <c r="AE31" s="2">
        <v>4.4000000000000004E-2</v>
      </c>
      <c r="AF31" s="2">
        <v>1.9064290741405587E-2</v>
      </c>
      <c r="AG31" s="2">
        <v>1.4999999999999999E-2</v>
      </c>
      <c r="AH31" s="2">
        <v>0.02</v>
      </c>
      <c r="AI31" s="2">
        <v>4.4999999999999998E-2</v>
      </c>
      <c r="AJ31" s="2">
        <v>3.7999999999999999E-2</v>
      </c>
      <c r="AK31" s="2">
        <v>7.0999999999999994E-2</v>
      </c>
      <c r="AL31" s="2">
        <v>5.2999999999999999E-2</v>
      </c>
      <c r="AM31" s="2">
        <v>3.9E-2</v>
      </c>
      <c r="AN31" s="2">
        <v>3.5538401361183025E-2</v>
      </c>
    </row>
    <row r="32" spans="1:40" x14ac:dyDescent="0.25">
      <c r="A32" s="1">
        <f t="shared" si="0"/>
        <v>39417</v>
      </c>
      <c r="B32" s="2">
        <v>-8.0000000000000002E-3</v>
      </c>
      <c r="C32" s="2">
        <v>0.06</v>
      </c>
      <c r="D32" s="2">
        <v>-0.04</v>
      </c>
      <c r="E32" s="2">
        <v>-0.04</v>
      </c>
      <c r="F32" s="2">
        <v>1.3000000000000001E-2</v>
      </c>
      <c r="G32" s="2">
        <v>8.1000000000000003E-2</v>
      </c>
      <c r="H32" s="2">
        <v>5.7855834034762577E-2</v>
      </c>
      <c r="I32" s="2">
        <v>4.1037377772179751E-2</v>
      </c>
      <c r="J32" s="2">
        <v>9.1999999999999998E-2</v>
      </c>
      <c r="K32" s="2">
        <v>7.0999999999999994E-2</v>
      </c>
      <c r="L32" s="2">
        <v>0.10800000000000001</v>
      </c>
      <c r="M32" s="2">
        <v>5.2999999999999999E-2</v>
      </c>
      <c r="N32" s="2">
        <v>0.10099999999999999</v>
      </c>
      <c r="O32" s="2">
        <v>5.0000000000000001E-3</v>
      </c>
      <c r="P32" s="2">
        <v>-8.0000000000000002E-3</v>
      </c>
      <c r="Q32" s="2">
        <v>5.2999999999999999E-2</v>
      </c>
      <c r="R32" s="2">
        <v>8.4000000000000005E-2</v>
      </c>
      <c r="S32" s="2">
        <v>0.121</v>
      </c>
      <c r="T32" s="2">
        <v>0.28800000000000003</v>
      </c>
      <c r="U32" s="2">
        <v>0.13300000000000001</v>
      </c>
      <c r="V32" s="2">
        <v>-5.9000000000000004E-2</v>
      </c>
      <c r="W32" s="2">
        <v>8.3000000000000004E-2</v>
      </c>
      <c r="X32" s="2">
        <v>1.3999999999999999E-2</v>
      </c>
      <c r="Y32" s="41">
        <v>5.0981540991824614E-2</v>
      </c>
      <c r="Z32" s="2">
        <v>6.7599036455789019E-2</v>
      </c>
      <c r="AA32" s="2">
        <v>8.900000000000001E-2</v>
      </c>
      <c r="AB32" s="2">
        <v>0.124</v>
      </c>
      <c r="AC32" s="2">
        <v>5.2999999999999999E-2</v>
      </c>
      <c r="AD32" s="2">
        <v>6.9000000000000006E-2</v>
      </c>
      <c r="AE32" s="2">
        <v>5.0999999999999997E-2</v>
      </c>
      <c r="AF32" s="2">
        <v>1.187499888496113E-2</v>
      </c>
      <c r="AG32" s="2">
        <v>5.0000000000000001E-3</v>
      </c>
      <c r="AH32" s="2">
        <v>1.6E-2</v>
      </c>
      <c r="AI32" s="2">
        <v>4.9000000000000002E-2</v>
      </c>
      <c r="AJ32" s="2">
        <v>1.4999999999999999E-2</v>
      </c>
      <c r="AK32" s="2">
        <v>-2.7999999999999997E-2</v>
      </c>
      <c r="AL32" s="2">
        <v>0.03</v>
      </c>
      <c r="AM32" s="2">
        <v>1.4999999999999999E-2</v>
      </c>
      <c r="AN32" s="2">
        <v>4.3219709203902168E-2</v>
      </c>
    </row>
    <row r="33" spans="1:40" x14ac:dyDescent="0.25">
      <c r="A33" s="1">
        <f t="shared" si="0"/>
        <v>39508</v>
      </c>
      <c r="B33" s="2">
        <v>-6.9000000000000006E-2</v>
      </c>
      <c r="C33" s="2">
        <v>6.0999999999999999E-2</v>
      </c>
      <c r="D33" s="2">
        <v>2.5000000000000001E-2</v>
      </c>
      <c r="E33" s="2">
        <v>2.5000000000000001E-2</v>
      </c>
      <c r="F33" s="2">
        <v>4.0000000000000001E-3</v>
      </c>
      <c r="G33" s="2">
        <v>0.10800000000000001</v>
      </c>
      <c r="H33" s="2">
        <v>6.5223139773671557E-2</v>
      </c>
      <c r="I33" s="2">
        <v>6.5338505896904486E-2</v>
      </c>
      <c r="J33" s="2">
        <v>6.5000000000000002E-2</v>
      </c>
      <c r="K33" s="2">
        <v>0.114</v>
      </c>
      <c r="L33" s="2">
        <v>0.16200000000000001</v>
      </c>
      <c r="M33" s="2">
        <v>5.2999999999999999E-2</v>
      </c>
      <c r="N33" s="2">
        <v>0.184</v>
      </c>
      <c r="O33" s="2">
        <v>4.2000000000000003E-2</v>
      </c>
      <c r="P33" s="2">
        <v>4.4999999999999998E-2</v>
      </c>
      <c r="Q33" s="2">
        <v>4.7E-2</v>
      </c>
      <c r="R33" s="2">
        <v>0.11800000000000001</v>
      </c>
      <c r="S33" s="2">
        <v>8.5000000000000006E-2</v>
      </c>
      <c r="T33" s="2">
        <v>0.254</v>
      </c>
      <c r="U33" s="2">
        <v>7.6999999999999999E-2</v>
      </c>
      <c r="V33" s="2">
        <v>-7.8E-2</v>
      </c>
      <c r="W33" s="2">
        <v>6.6000000000000003E-2</v>
      </c>
      <c r="X33" s="2">
        <v>-0.126</v>
      </c>
      <c r="Y33" s="41">
        <v>5.6158280627502055E-2</v>
      </c>
      <c r="Z33" s="2">
        <v>6.7412394693781685E-2</v>
      </c>
      <c r="AA33" s="2">
        <v>0.1</v>
      </c>
      <c r="AB33" s="2">
        <v>9.4E-2</v>
      </c>
      <c r="AC33" s="2">
        <v>4.2000000000000003E-2</v>
      </c>
      <c r="AD33" s="2">
        <v>7.9000000000000001E-2</v>
      </c>
      <c r="AE33" s="2">
        <v>6.3E-2</v>
      </c>
      <c r="AF33" s="2">
        <v>2.1648326476950031E-2</v>
      </c>
      <c r="AG33" s="2">
        <v>1.4999999999999999E-2</v>
      </c>
      <c r="AH33" s="2">
        <v>2.4E-2</v>
      </c>
      <c r="AI33" s="2">
        <v>5.9000000000000004E-2</v>
      </c>
      <c r="AJ33" s="2">
        <v>2.5000000000000001E-2</v>
      </c>
      <c r="AK33" s="2">
        <v>0.03</v>
      </c>
      <c r="AL33" s="2">
        <v>2.8999999999999998E-2</v>
      </c>
      <c r="AM33" s="2">
        <v>2.5000000000000001E-2</v>
      </c>
      <c r="AN33" s="2">
        <v>2.5042245699075316E-2</v>
      </c>
    </row>
    <row r="34" spans="1:40" x14ac:dyDescent="0.25">
      <c r="A34" s="1">
        <f t="shared" si="0"/>
        <v>39600</v>
      </c>
      <c r="B34" s="2">
        <v>-7.400000000000001E-2</v>
      </c>
      <c r="C34" s="2">
        <v>5.2999999999999999E-2</v>
      </c>
      <c r="D34" s="2">
        <v>-5.5E-2</v>
      </c>
      <c r="E34" s="2">
        <v>-5.5999999999999994E-2</v>
      </c>
      <c r="F34" s="2">
        <v>0.03</v>
      </c>
      <c r="G34" s="2">
        <v>0.152</v>
      </c>
      <c r="H34" s="2">
        <v>6.3766932344727412E-2</v>
      </c>
      <c r="I34" s="2">
        <v>5.9038590381376821E-2</v>
      </c>
      <c r="J34" s="2">
        <v>7.2999999999999995E-2</v>
      </c>
      <c r="K34" s="2">
        <v>0.14400000000000002</v>
      </c>
      <c r="L34" s="2">
        <v>0.19800000000000001</v>
      </c>
      <c r="M34" s="2">
        <v>5.5E-2</v>
      </c>
      <c r="N34" s="2">
        <v>0.25</v>
      </c>
      <c r="O34" s="2">
        <v>7.2000000000000008E-2</v>
      </c>
      <c r="P34" s="2">
        <v>1.1000000000000001E-2</v>
      </c>
      <c r="Q34" s="2">
        <v>0.04</v>
      </c>
      <c r="R34" s="2">
        <v>0.129</v>
      </c>
      <c r="S34" s="2">
        <v>6.9999999999999993E-3</v>
      </c>
      <c r="T34" s="2">
        <v>9.4E-2</v>
      </c>
      <c r="U34" s="2">
        <v>1.1000000000000001E-2</v>
      </c>
      <c r="V34" s="2">
        <v>-0.111</v>
      </c>
      <c r="W34" s="2">
        <v>8.8000000000000009E-2</v>
      </c>
      <c r="X34" s="2">
        <v>4.8000000000000001E-2</v>
      </c>
      <c r="Y34" s="41">
        <v>6.239881549119719E-2</v>
      </c>
      <c r="Z34" s="2">
        <v>7.3252635209790196E-2</v>
      </c>
      <c r="AA34" s="2">
        <v>0.107</v>
      </c>
      <c r="AB34" s="2">
        <v>0.21299999999999999</v>
      </c>
      <c r="AC34" s="2">
        <v>3.9E-2</v>
      </c>
      <c r="AD34" s="2">
        <v>7.4999999999999997E-2</v>
      </c>
      <c r="AE34" s="2">
        <v>6.9000000000000006E-2</v>
      </c>
      <c r="AF34" s="2">
        <v>3.4593741062730388E-2</v>
      </c>
      <c r="AG34" s="2">
        <v>3.1E-2</v>
      </c>
      <c r="AH34" s="2">
        <v>3.5000000000000003E-2</v>
      </c>
      <c r="AI34" s="2">
        <v>6.5000000000000002E-2</v>
      </c>
      <c r="AJ34" s="2">
        <v>1.9E-2</v>
      </c>
      <c r="AK34" s="2">
        <v>0.106</v>
      </c>
      <c r="AL34" s="2">
        <v>5.7999999999999996E-2</v>
      </c>
      <c r="AM34" s="2">
        <v>2.2000000000000002E-2</v>
      </c>
      <c r="AN34" s="2">
        <v>5.9429276164603806E-2</v>
      </c>
    </row>
    <row r="35" spans="1:40" x14ac:dyDescent="0.25">
      <c r="A35" s="1">
        <f t="shared" si="0"/>
        <v>39692</v>
      </c>
      <c r="B35" s="2">
        <v>-4.2000000000000003E-2</v>
      </c>
      <c r="C35" s="2">
        <v>5.9000000000000004E-2</v>
      </c>
      <c r="D35" s="2">
        <v>-3.5000000000000003E-2</v>
      </c>
      <c r="E35" s="2">
        <v>-3.5000000000000003E-2</v>
      </c>
      <c r="F35" s="2">
        <v>2.1000000000000001E-2</v>
      </c>
      <c r="G35" s="2">
        <v>0.125</v>
      </c>
      <c r="H35" s="2">
        <v>6.1598805075747887E-2</v>
      </c>
      <c r="I35" s="2">
        <v>7.0737107480761896E-2</v>
      </c>
      <c r="J35" s="2">
        <v>4.4000000000000004E-2</v>
      </c>
      <c r="K35" s="2">
        <v>0.128</v>
      </c>
      <c r="L35" s="2">
        <v>0.20399999999999999</v>
      </c>
      <c r="M35" s="2">
        <v>4.8000000000000001E-2</v>
      </c>
      <c r="N35" s="2">
        <v>0.183</v>
      </c>
      <c r="O35" s="2">
        <v>9.4E-2</v>
      </c>
      <c r="P35" s="2">
        <v>8.8000000000000009E-2</v>
      </c>
      <c r="Q35" s="2">
        <v>2.7000000000000003E-2</v>
      </c>
      <c r="R35" s="2">
        <v>8.199999999999999E-2</v>
      </c>
      <c r="S35" s="2">
        <v>0.02</v>
      </c>
      <c r="T35" s="2">
        <v>0.15</v>
      </c>
      <c r="U35" s="2">
        <v>4.7E-2</v>
      </c>
      <c r="V35" s="2">
        <v>-0.11900000000000001</v>
      </c>
      <c r="W35" s="2">
        <v>9.3000000000000013E-2</v>
      </c>
      <c r="X35" s="2">
        <v>6.5000000000000002E-2</v>
      </c>
      <c r="Y35" s="41">
        <v>6.7424181957099094E-2</v>
      </c>
      <c r="Z35" s="2">
        <v>7.458582607911568E-2</v>
      </c>
      <c r="AA35" s="2">
        <v>0.10400000000000001</v>
      </c>
      <c r="AB35" s="2">
        <v>0.19800000000000001</v>
      </c>
      <c r="AC35" s="2">
        <v>4.0999999999999995E-2</v>
      </c>
      <c r="AD35" s="2">
        <v>7.6999999999999999E-2</v>
      </c>
      <c r="AE35" s="2">
        <v>6.7000000000000004E-2</v>
      </c>
      <c r="AF35" s="2">
        <v>4.8673937719701854E-2</v>
      </c>
      <c r="AG35" s="2">
        <v>4.7E-2</v>
      </c>
      <c r="AH35" s="2">
        <v>4.8000000000000001E-2</v>
      </c>
      <c r="AI35" s="2">
        <v>6.7000000000000004E-2</v>
      </c>
      <c r="AJ35" s="2">
        <v>3.1E-2</v>
      </c>
      <c r="AK35" s="2">
        <v>2.5000000000000001E-2</v>
      </c>
      <c r="AL35" s="2">
        <v>4.7E-2</v>
      </c>
      <c r="AM35" s="2">
        <v>3.1E-2</v>
      </c>
      <c r="AN35" s="2">
        <v>6.2275243830756111E-2</v>
      </c>
    </row>
    <row r="36" spans="1:40" x14ac:dyDescent="0.25">
      <c r="A36" s="1">
        <f t="shared" si="0"/>
        <v>39783</v>
      </c>
      <c r="B36" s="2">
        <v>0.05</v>
      </c>
      <c r="C36" s="2">
        <v>7.2999999999999995E-2</v>
      </c>
      <c r="D36" s="2">
        <v>-9.3000000000000013E-2</v>
      </c>
      <c r="E36" s="2">
        <v>-9.3000000000000013E-2</v>
      </c>
      <c r="F36" s="2">
        <v>3.5000000000000003E-2</v>
      </c>
      <c r="G36" s="2">
        <v>-1.4999999999999999E-2</v>
      </c>
      <c r="H36" s="2">
        <v>6.3544883890596537E-2</v>
      </c>
      <c r="I36" s="2">
        <v>8.2096213264251316E-2</v>
      </c>
      <c r="J36" s="2">
        <v>2.8999999999999998E-2</v>
      </c>
      <c r="K36" s="2">
        <v>0.113</v>
      </c>
      <c r="L36" s="2">
        <v>0.13500000000000001</v>
      </c>
      <c r="M36" s="2">
        <v>4.8000000000000001E-2</v>
      </c>
      <c r="N36" s="2">
        <v>-9.4E-2</v>
      </c>
      <c r="O36" s="2">
        <v>0.10800000000000001</v>
      </c>
      <c r="P36" s="2">
        <v>8.1000000000000003E-2</v>
      </c>
      <c r="Q36" s="2">
        <v>4.8000000000000001E-2</v>
      </c>
      <c r="R36" s="2">
        <v>0.15</v>
      </c>
      <c r="S36" s="2">
        <v>-3.1E-2</v>
      </c>
      <c r="T36" s="2">
        <v>0.02</v>
      </c>
      <c r="U36" s="2">
        <v>4.2999999999999997E-2</v>
      </c>
      <c r="V36" s="2">
        <v>1.2E-2</v>
      </c>
      <c r="W36" s="2">
        <v>5.7999999999999996E-2</v>
      </c>
      <c r="X36" s="2">
        <v>0.252</v>
      </c>
      <c r="Y36" s="41">
        <v>6.635150588149985E-2</v>
      </c>
      <c r="Z36" s="2">
        <v>6.8807738862355805E-2</v>
      </c>
      <c r="AA36" s="2">
        <v>0.11599999999999999</v>
      </c>
      <c r="AB36" s="2">
        <v>8.5000000000000006E-2</v>
      </c>
      <c r="AC36" s="2">
        <v>2.7000000000000003E-2</v>
      </c>
      <c r="AD36" s="2">
        <v>0.08</v>
      </c>
      <c r="AE36" s="2">
        <v>5.7999999999999996E-2</v>
      </c>
      <c r="AF36" s="2">
        <v>6.0318486621291134E-2</v>
      </c>
      <c r="AG36" s="2">
        <v>0.06</v>
      </c>
      <c r="AH36" s="2">
        <v>0.06</v>
      </c>
      <c r="AI36" s="2">
        <v>6.5000000000000002E-2</v>
      </c>
      <c r="AJ36" s="2">
        <v>1.7000000000000001E-2</v>
      </c>
      <c r="AK36" s="2">
        <v>0.14699999999999999</v>
      </c>
      <c r="AL36" s="2">
        <v>5.2000000000000005E-2</v>
      </c>
      <c r="AM36" s="2">
        <v>0.02</v>
      </c>
      <c r="AN36" s="2">
        <v>8.1243775112068928E-2</v>
      </c>
    </row>
    <row r="37" spans="1:40" x14ac:dyDescent="0.25">
      <c r="A37" s="1">
        <f t="shared" si="0"/>
        <v>39873</v>
      </c>
      <c r="B37" s="2">
        <v>0.18100000000000002</v>
      </c>
      <c r="C37" s="2">
        <v>9.1999999999999998E-2</v>
      </c>
      <c r="D37" s="2">
        <v>-0.125</v>
      </c>
      <c r="E37" s="2">
        <v>-0.126</v>
      </c>
      <c r="F37" s="2">
        <v>4.4999999999999998E-2</v>
      </c>
      <c r="G37" s="2">
        <v>-2.6000000000000002E-2</v>
      </c>
      <c r="H37" s="2">
        <v>4.903506819681791E-2</v>
      </c>
      <c r="I37" s="2">
        <v>5.0600444881020668E-2</v>
      </c>
      <c r="J37" s="2">
        <v>4.5999999999999999E-2</v>
      </c>
      <c r="K37" s="2">
        <v>3.7999999999999999E-2</v>
      </c>
      <c r="L37" s="2">
        <v>6.5000000000000002E-2</v>
      </c>
      <c r="M37" s="2">
        <v>5.5E-2</v>
      </c>
      <c r="N37" s="2">
        <v>-8.5000000000000006E-2</v>
      </c>
      <c r="O37" s="2">
        <v>0.114</v>
      </c>
      <c r="P37" s="2">
        <v>9.4E-2</v>
      </c>
      <c r="Q37" s="2">
        <v>2.7000000000000003E-2</v>
      </c>
      <c r="R37" s="2">
        <v>-3.0000000000000001E-3</v>
      </c>
      <c r="S37" s="2">
        <v>-2.1000000000000001E-2</v>
      </c>
      <c r="T37" s="2">
        <v>-1.9E-2</v>
      </c>
      <c r="U37" s="2">
        <v>0.09</v>
      </c>
      <c r="V37" s="2">
        <v>-4.2999999999999997E-2</v>
      </c>
      <c r="W37" s="2">
        <v>8.8000000000000009E-2</v>
      </c>
      <c r="X37" s="2">
        <v>0.42299999999999999</v>
      </c>
      <c r="Y37" s="41">
        <v>6.9785886785118878E-2</v>
      </c>
      <c r="Z37" s="2">
        <v>6.7549336616767208E-2</v>
      </c>
      <c r="AA37" s="2">
        <v>0.121</v>
      </c>
      <c r="AB37" s="2">
        <v>0.127</v>
      </c>
      <c r="AC37" s="2">
        <v>3.6000000000000004E-2</v>
      </c>
      <c r="AD37" s="2">
        <v>8.4000000000000005E-2</v>
      </c>
      <c r="AE37" s="2">
        <v>4.0999999999999995E-2</v>
      </c>
      <c r="AF37" s="2">
        <v>7.6062584687798696E-2</v>
      </c>
      <c r="AG37" s="2">
        <v>7.8E-2</v>
      </c>
      <c r="AH37" s="2">
        <v>7.5999999999999998E-2</v>
      </c>
      <c r="AI37" s="2">
        <v>0.06</v>
      </c>
      <c r="AJ37" s="2">
        <v>2.1000000000000001E-2</v>
      </c>
      <c r="AK37" s="2">
        <v>0.13100000000000001</v>
      </c>
      <c r="AL37" s="2">
        <v>9.4E-2</v>
      </c>
      <c r="AM37" s="2">
        <v>2.6000000000000002E-2</v>
      </c>
      <c r="AN37" s="2">
        <v>0.11496366229048438</v>
      </c>
    </row>
    <row r="38" spans="1:40" x14ac:dyDescent="0.25">
      <c r="A38" s="1">
        <f t="shared" si="0"/>
        <v>39965</v>
      </c>
      <c r="B38" s="2">
        <v>0.26400000000000001</v>
      </c>
      <c r="C38" s="2">
        <v>0.1</v>
      </c>
      <c r="D38" s="2">
        <v>-0.14599999999999999</v>
      </c>
      <c r="E38" s="2">
        <v>-0.14599999999999999</v>
      </c>
      <c r="F38" s="2">
        <v>1.2E-2</v>
      </c>
      <c r="G38" s="2">
        <v>-1E-3</v>
      </c>
      <c r="H38" s="2">
        <v>3.4480954804317454E-2</v>
      </c>
      <c r="I38" s="2">
        <v>4.3693547474747074E-2</v>
      </c>
      <c r="J38" s="2">
        <v>1.7000000000000001E-2</v>
      </c>
      <c r="K38" s="2">
        <v>-1.4999999999999999E-2</v>
      </c>
      <c r="L38" s="2">
        <v>3.0000000000000001E-3</v>
      </c>
      <c r="M38" s="2">
        <v>5.9000000000000004E-2</v>
      </c>
      <c r="N38" s="2">
        <v>-3.2000000000000001E-2</v>
      </c>
      <c r="O38" s="2">
        <v>0.11</v>
      </c>
      <c r="P38" s="2">
        <v>4.5999999999999999E-2</v>
      </c>
      <c r="Q38" s="2">
        <v>3.3000000000000002E-2</v>
      </c>
      <c r="R38" s="2">
        <v>1.6E-2</v>
      </c>
      <c r="S38" s="2">
        <v>-4.0000000000000001E-3</v>
      </c>
      <c r="T38" s="2">
        <v>7.2000000000000008E-2</v>
      </c>
      <c r="U38" s="2">
        <v>0.16699999999999998</v>
      </c>
      <c r="V38" s="2">
        <v>4.8000000000000001E-2</v>
      </c>
      <c r="W38" s="2">
        <v>9.9000000000000005E-2</v>
      </c>
      <c r="X38" s="2">
        <v>0.183</v>
      </c>
      <c r="Y38" s="41">
        <v>6.6430892422602694E-2</v>
      </c>
      <c r="Z38" s="2">
        <v>6.0665119942306278E-2</v>
      </c>
      <c r="AA38" s="2">
        <v>0.115</v>
      </c>
      <c r="AB38" s="2">
        <v>6.6000000000000003E-2</v>
      </c>
      <c r="AC38" s="2">
        <v>3.3000000000000002E-2</v>
      </c>
      <c r="AD38" s="2">
        <v>8.3000000000000004E-2</v>
      </c>
      <c r="AE38" s="2">
        <v>3.2000000000000001E-2</v>
      </c>
      <c r="AF38" s="2">
        <v>7.8756786141831681E-2</v>
      </c>
      <c r="AG38" s="2">
        <v>0.08</v>
      </c>
      <c r="AH38" s="2">
        <v>0.08</v>
      </c>
      <c r="AI38" s="2">
        <v>5.5E-2</v>
      </c>
      <c r="AJ38" s="2">
        <v>5.0000000000000001E-3</v>
      </c>
      <c r="AK38" s="2">
        <v>0.09</v>
      </c>
      <c r="AL38" s="2">
        <v>6.7000000000000004E-2</v>
      </c>
      <c r="AM38" s="2">
        <v>9.0000000000000011E-3</v>
      </c>
      <c r="AN38" s="2">
        <v>9.4548243577928126E-2</v>
      </c>
    </row>
    <row r="39" spans="1:40" x14ac:dyDescent="0.25">
      <c r="A39" s="1">
        <f t="shared" si="0"/>
        <v>40057</v>
      </c>
      <c r="B39" s="2">
        <v>0.27500000000000002</v>
      </c>
      <c r="C39" s="2">
        <v>9.8000000000000004E-2</v>
      </c>
      <c r="D39" s="2">
        <v>-0.109</v>
      </c>
      <c r="E39" s="2">
        <v>-0.109</v>
      </c>
      <c r="F39" s="2">
        <v>4.2999999999999997E-2</v>
      </c>
      <c r="G39" s="2">
        <v>-1.3000000000000001E-2</v>
      </c>
      <c r="H39" s="2">
        <v>4.5802403227505284E-2</v>
      </c>
      <c r="I39" s="2">
        <v>4.7766293670680193E-2</v>
      </c>
      <c r="J39" s="2">
        <v>4.2000000000000003E-2</v>
      </c>
      <c r="K39" s="2">
        <v>-9.0000000000000011E-3</v>
      </c>
      <c r="L39" s="2">
        <v>-0.02</v>
      </c>
      <c r="M39" s="2">
        <v>6.9000000000000006E-2</v>
      </c>
      <c r="N39" s="2">
        <v>-6.4000000000000001E-2</v>
      </c>
      <c r="O39" s="2">
        <v>9.9000000000000005E-2</v>
      </c>
      <c r="P39" s="2">
        <v>5.9000000000000004E-2</v>
      </c>
      <c r="Q39" s="2">
        <v>4.2999999999999997E-2</v>
      </c>
      <c r="R39" s="2">
        <v>4.5999999999999999E-2</v>
      </c>
      <c r="S39" s="2">
        <v>-0.14899999999999999</v>
      </c>
      <c r="T39" s="2">
        <v>-6.9000000000000006E-2</v>
      </c>
      <c r="U39" s="2">
        <v>0.16300000000000001</v>
      </c>
      <c r="V39" s="2">
        <v>0.10300000000000001</v>
      </c>
      <c r="W39" s="2">
        <v>9.3000000000000013E-2</v>
      </c>
      <c r="X39" s="2">
        <v>-2.1000000000000001E-2</v>
      </c>
      <c r="Y39" s="41">
        <v>6.0325101311745177E-2</v>
      </c>
      <c r="Z39" s="2">
        <v>5.3909124889201188E-2</v>
      </c>
      <c r="AA39" s="2">
        <v>0.10099999999999999</v>
      </c>
      <c r="AB39" s="2">
        <v>-6.9999999999999993E-3</v>
      </c>
      <c r="AC39" s="2">
        <v>3.2000000000000001E-2</v>
      </c>
      <c r="AD39" s="2">
        <v>8.1000000000000003E-2</v>
      </c>
      <c r="AE39" s="2">
        <v>0.03</v>
      </c>
      <c r="AF39" s="2">
        <v>7.371607119351542E-2</v>
      </c>
      <c r="AG39" s="2">
        <v>7.400000000000001E-2</v>
      </c>
      <c r="AH39" s="2">
        <v>7.6999999999999999E-2</v>
      </c>
      <c r="AI39" s="2">
        <v>4.5999999999999999E-2</v>
      </c>
      <c r="AJ39" s="2">
        <v>-2E-3</v>
      </c>
      <c r="AK39" s="2">
        <v>0.08</v>
      </c>
      <c r="AL39" s="2">
        <v>4.7E-2</v>
      </c>
      <c r="AM39" s="2">
        <v>2E-3</v>
      </c>
      <c r="AN39" s="2">
        <v>6.1204559131313729E-2</v>
      </c>
    </row>
    <row r="40" spans="1:40" x14ac:dyDescent="0.25">
      <c r="A40" s="1">
        <f t="shared" si="0"/>
        <v>40148</v>
      </c>
      <c r="B40" s="2">
        <v>0.22</v>
      </c>
      <c r="C40" s="2">
        <v>8.4000000000000005E-2</v>
      </c>
      <c r="D40" s="2">
        <v>-6.7000000000000004E-2</v>
      </c>
      <c r="E40" s="2">
        <v>-6.8000000000000005E-2</v>
      </c>
      <c r="F40" s="2">
        <v>7.9000000000000001E-2</v>
      </c>
      <c r="G40" s="2">
        <v>0.191</v>
      </c>
      <c r="H40" s="2">
        <v>6.8859025195562751E-2</v>
      </c>
      <c r="I40" s="2">
        <v>7.6743237640891637E-2</v>
      </c>
      <c r="J40" s="2">
        <v>5.2999999999999999E-2</v>
      </c>
      <c r="K40" s="2">
        <v>2.6000000000000002E-2</v>
      </c>
      <c r="L40" s="2">
        <v>-0.01</v>
      </c>
      <c r="M40" s="2">
        <v>6.6000000000000003E-2</v>
      </c>
      <c r="N40" s="2">
        <v>0.29699999999999999</v>
      </c>
      <c r="O40" s="2">
        <v>0.08</v>
      </c>
      <c r="P40" s="2">
        <v>0.129</v>
      </c>
      <c r="Q40" s="2">
        <v>5.7999999999999996E-2</v>
      </c>
      <c r="R40" s="2">
        <v>5.9000000000000004E-2</v>
      </c>
      <c r="S40" s="2">
        <v>2.5000000000000001E-2</v>
      </c>
      <c r="T40" s="2">
        <v>8.5000000000000006E-2</v>
      </c>
      <c r="U40" s="2">
        <v>0.19399999999999998</v>
      </c>
      <c r="V40" s="2">
        <v>0.10300000000000001</v>
      </c>
      <c r="W40" s="2">
        <v>8.3000000000000004E-2</v>
      </c>
      <c r="X40" s="2">
        <v>-0.17</v>
      </c>
      <c r="Y40" s="41">
        <v>5.8749908008447482E-2</v>
      </c>
      <c r="Z40" s="2">
        <v>5.547753612570161E-2</v>
      </c>
      <c r="AA40" s="2">
        <v>9.4E-2</v>
      </c>
      <c r="AB40" s="2">
        <v>2.6000000000000002E-2</v>
      </c>
      <c r="AC40" s="2">
        <v>3.1E-2</v>
      </c>
      <c r="AD40" s="2">
        <v>7.6999999999999999E-2</v>
      </c>
      <c r="AE40" s="2">
        <v>3.6000000000000004E-2</v>
      </c>
      <c r="AF40" s="2">
        <v>6.539710052878589E-2</v>
      </c>
      <c r="AG40" s="2">
        <v>6.5000000000000002E-2</v>
      </c>
      <c r="AH40" s="2">
        <v>6.9000000000000006E-2</v>
      </c>
      <c r="AI40" s="2">
        <v>4.4000000000000004E-2</v>
      </c>
      <c r="AJ40" s="2">
        <v>1.3000000000000001E-2</v>
      </c>
      <c r="AK40" s="2">
        <v>-0.157</v>
      </c>
      <c r="AL40" s="2">
        <v>5.0000000000000001E-3</v>
      </c>
      <c r="AM40" s="2">
        <v>0.01</v>
      </c>
      <c r="AN40" s="2">
        <v>4.0119042212275469E-2</v>
      </c>
    </row>
    <row r="41" spans="1:40" x14ac:dyDescent="0.25">
      <c r="A41" s="1">
        <f t="shared" si="0"/>
        <v>40238</v>
      </c>
      <c r="B41" s="2">
        <v>0.12300000000000001</v>
      </c>
      <c r="C41" s="2">
        <v>6.2E-2</v>
      </c>
      <c r="D41" s="2">
        <v>-4.9000000000000002E-2</v>
      </c>
      <c r="E41" s="2">
        <v>-0.05</v>
      </c>
      <c r="F41" s="2">
        <v>0.124</v>
      </c>
      <c r="G41" s="2">
        <v>0.23399999999999999</v>
      </c>
      <c r="H41" s="2">
        <v>9.0565753099473012E-2</v>
      </c>
      <c r="I41" s="2">
        <v>0.10544320418757436</v>
      </c>
      <c r="J41" s="2">
        <v>6.4000000000000001E-2</v>
      </c>
      <c r="K41" s="2">
        <v>9.1999999999999998E-2</v>
      </c>
      <c r="L41" s="2">
        <v>1.6E-2</v>
      </c>
      <c r="M41" s="2">
        <v>6.5000000000000002E-2</v>
      </c>
      <c r="N41" s="2">
        <v>0.376</v>
      </c>
      <c r="O41" s="2">
        <v>5.4000000000000006E-2</v>
      </c>
      <c r="P41" s="2">
        <v>5.2999999999999999E-2</v>
      </c>
      <c r="Q41" s="2">
        <v>0.08</v>
      </c>
      <c r="R41" s="2">
        <v>0.23499999999999999</v>
      </c>
      <c r="S41" s="2">
        <v>0.11800000000000001</v>
      </c>
      <c r="T41" s="2">
        <v>0.23100000000000001</v>
      </c>
      <c r="U41" s="2">
        <v>0.20199999999999999</v>
      </c>
      <c r="V41" s="2">
        <v>0.252</v>
      </c>
      <c r="W41" s="2">
        <v>7.0000000000000007E-2</v>
      </c>
      <c r="X41" s="2">
        <v>-4.4999999999999998E-2</v>
      </c>
      <c r="Y41" s="41">
        <v>5.9643397363988493E-2</v>
      </c>
      <c r="Z41" s="2">
        <v>5.9443885316390555E-2</v>
      </c>
      <c r="AA41" s="2">
        <v>8.5000000000000006E-2</v>
      </c>
      <c r="AB41" s="2">
        <v>5.9000000000000004E-2</v>
      </c>
      <c r="AC41" s="2">
        <v>3.7999999999999999E-2</v>
      </c>
      <c r="AD41" s="2">
        <v>7.0999999999999994E-2</v>
      </c>
      <c r="AE41" s="2">
        <v>5.2000000000000005E-2</v>
      </c>
      <c r="AF41" s="2">
        <v>6.0126414990764543E-2</v>
      </c>
      <c r="AG41" s="2">
        <v>6.0999999999999999E-2</v>
      </c>
      <c r="AH41" s="2">
        <v>0.06</v>
      </c>
      <c r="AI41" s="2">
        <v>5.2000000000000005E-2</v>
      </c>
      <c r="AJ41" s="2">
        <v>3.3000000000000002E-2</v>
      </c>
      <c r="AK41" s="2">
        <v>-0.02</v>
      </c>
      <c r="AL41" s="2">
        <v>2.7000000000000003E-2</v>
      </c>
      <c r="AM41" s="2">
        <v>3.2000000000000001E-2</v>
      </c>
      <c r="AN41" s="2">
        <v>5.6866537507124226E-2</v>
      </c>
    </row>
    <row r="42" spans="1:40" x14ac:dyDescent="0.25">
      <c r="A42" s="1">
        <f t="shared" si="0"/>
        <v>40330</v>
      </c>
      <c r="B42" s="2">
        <v>5.5E-2</v>
      </c>
      <c r="C42" s="2">
        <v>5.2000000000000005E-2</v>
      </c>
      <c r="D42" s="2">
        <v>-2.8999999999999998E-2</v>
      </c>
      <c r="E42" s="2">
        <v>-0.03</v>
      </c>
      <c r="F42" s="2">
        <v>0.17300000000000001</v>
      </c>
      <c r="G42" s="2">
        <v>0.249</v>
      </c>
      <c r="H42" s="2">
        <v>0.13805893866721375</v>
      </c>
      <c r="I42" s="2">
        <v>0.15837548339036878</v>
      </c>
      <c r="J42" s="2">
        <v>0.1</v>
      </c>
      <c r="K42" s="2">
        <v>0.16399999999999998</v>
      </c>
      <c r="L42" s="2">
        <v>4.4000000000000004E-2</v>
      </c>
      <c r="M42" s="2">
        <v>5.2000000000000005E-2</v>
      </c>
      <c r="N42" s="2">
        <v>0.41100000000000003</v>
      </c>
      <c r="O42" s="2">
        <v>3.7999999999999999E-2</v>
      </c>
      <c r="P42" s="2">
        <v>0.248</v>
      </c>
      <c r="Q42" s="2">
        <v>9.8000000000000004E-2</v>
      </c>
      <c r="R42" s="2">
        <v>0.26</v>
      </c>
      <c r="S42" s="2">
        <v>0.17399999999999999</v>
      </c>
      <c r="T42" s="2">
        <v>0.21899999999999997</v>
      </c>
      <c r="U42" s="2">
        <v>0.19600000000000001</v>
      </c>
      <c r="V42" s="2">
        <v>0.23199999999999998</v>
      </c>
      <c r="W42" s="2">
        <v>5.4000000000000006E-2</v>
      </c>
      <c r="X42" s="2">
        <v>0.10099999999999999</v>
      </c>
      <c r="Y42" s="41">
        <v>5.6466680193619556E-2</v>
      </c>
      <c r="Z42" s="2">
        <v>5.9306895461881837E-2</v>
      </c>
      <c r="AA42" s="2">
        <v>8.1000000000000003E-2</v>
      </c>
      <c r="AB42" s="2">
        <v>8.8000000000000009E-2</v>
      </c>
      <c r="AC42" s="2">
        <v>3.2000000000000001E-2</v>
      </c>
      <c r="AD42" s="2">
        <v>6.9000000000000006E-2</v>
      </c>
      <c r="AE42" s="2">
        <v>0.06</v>
      </c>
      <c r="AF42" s="2">
        <v>5.0541225597493744E-2</v>
      </c>
      <c r="AG42" s="2">
        <v>5.2000000000000005E-2</v>
      </c>
      <c r="AH42" s="2">
        <v>4.8000000000000001E-2</v>
      </c>
      <c r="AI42" s="2">
        <v>5.2000000000000005E-2</v>
      </c>
      <c r="AJ42" s="2">
        <v>0.06</v>
      </c>
      <c r="AK42" s="2">
        <v>-5.4000000000000006E-2</v>
      </c>
      <c r="AL42" s="2">
        <v>2.4E-2</v>
      </c>
      <c r="AM42" s="2">
        <v>5.5999999999999994E-2</v>
      </c>
      <c r="AN42" s="2">
        <v>7.8396667318329172E-2</v>
      </c>
    </row>
    <row r="43" spans="1:40" x14ac:dyDescent="0.25">
      <c r="A43" s="1">
        <f t="shared" si="0"/>
        <v>40422</v>
      </c>
      <c r="B43" s="2">
        <v>4.0999999999999995E-2</v>
      </c>
      <c r="C43" s="2">
        <v>5.0999999999999997E-2</v>
      </c>
      <c r="D43" s="2">
        <v>-0.114</v>
      </c>
      <c r="E43" s="2">
        <v>-0.11599999999999999</v>
      </c>
      <c r="F43" s="2">
        <v>0.154</v>
      </c>
      <c r="G43" s="2">
        <v>0.28100000000000003</v>
      </c>
      <c r="H43" s="2">
        <v>0.12782318676253035</v>
      </c>
      <c r="I43" s="2">
        <v>0.14541156004075972</v>
      </c>
      <c r="J43" s="2">
        <v>9.6000000000000002E-2</v>
      </c>
      <c r="K43" s="2">
        <v>0.187</v>
      </c>
      <c r="L43" s="2">
        <v>6.7000000000000004E-2</v>
      </c>
      <c r="M43" s="2">
        <v>3.5000000000000003E-2</v>
      </c>
      <c r="N43" s="2">
        <v>0.5</v>
      </c>
      <c r="O43" s="2">
        <v>3.2000000000000001E-2</v>
      </c>
      <c r="P43" s="2">
        <v>0.109</v>
      </c>
      <c r="Q43" s="2">
        <v>0.113</v>
      </c>
      <c r="R43" s="2">
        <v>0.30199999999999999</v>
      </c>
      <c r="S43" s="2">
        <v>0.223</v>
      </c>
      <c r="T43" s="2">
        <v>0.33399999999999996</v>
      </c>
      <c r="U43" s="2">
        <v>0.182</v>
      </c>
      <c r="V43" s="2">
        <v>0.252</v>
      </c>
      <c r="W43" s="2">
        <v>0.06</v>
      </c>
      <c r="X43" s="2">
        <v>0.23699999999999999</v>
      </c>
      <c r="Y43" s="41">
        <v>6.1670872630820828E-2</v>
      </c>
      <c r="Z43" s="2">
        <v>6.5451516241115559E-2</v>
      </c>
      <c r="AA43" s="2">
        <v>8.5000000000000006E-2</v>
      </c>
      <c r="AB43" s="2">
        <v>0.11900000000000001</v>
      </c>
      <c r="AC43" s="2">
        <v>3.7000000000000005E-2</v>
      </c>
      <c r="AD43" s="2">
        <v>6.9000000000000006E-2</v>
      </c>
      <c r="AE43" s="2">
        <v>6.5000000000000002E-2</v>
      </c>
      <c r="AF43" s="2">
        <v>5.3622350325307711E-2</v>
      </c>
      <c r="AG43" s="2">
        <v>0.06</v>
      </c>
      <c r="AH43" s="2">
        <v>4.2999999999999997E-2</v>
      </c>
      <c r="AI43" s="2">
        <v>5.7000000000000002E-2</v>
      </c>
      <c r="AJ43" s="2">
        <v>5.2999999999999999E-2</v>
      </c>
      <c r="AK43" s="2">
        <v>3.1E-2</v>
      </c>
      <c r="AL43" s="2">
        <v>4.5999999999999999E-2</v>
      </c>
      <c r="AM43" s="2">
        <v>5.2999999999999999E-2</v>
      </c>
      <c r="AN43" s="2">
        <v>0.10520795522221382</v>
      </c>
    </row>
    <row r="44" spans="1:40" x14ac:dyDescent="0.25">
      <c r="A44" s="1">
        <f t="shared" si="0"/>
        <v>40513</v>
      </c>
      <c r="B44" s="2">
        <v>3.9E-2</v>
      </c>
      <c r="C44" s="2">
        <v>6.4000000000000001E-2</v>
      </c>
      <c r="D44" s="2">
        <v>-3.5000000000000003E-2</v>
      </c>
      <c r="E44" s="2">
        <v>-3.6000000000000004E-2</v>
      </c>
      <c r="F44" s="2">
        <v>0.11</v>
      </c>
      <c r="G44" s="2">
        <v>0.107</v>
      </c>
      <c r="H44" s="2">
        <v>0.10768175716629935</v>
      </c>
      <c r="I44" s="2">
        <v>0.10962501072849884</v>
      </c>
      <c r="J44" s="2">
        <v>0.10400000000000001</v>
      </c>
      <c r="K44" s="2">
        <v>0.128</v>
      </c>
      <c r="L44" s="2">
        <v>6.8000000000000005E-2</v>
      </c>
      <c r="M44" s="2">
        <v>2.2000000000000002E-2</v>
      </c>
      <c r="N44" s="2">
        <v>0.16600000000000001</v>
      </c>
      <c r="O44" s="2">
        <v>3.5000000000000003E-2</v>
      </c>
      <c r="P44" s="2">
        <v>9.1999999999999998E-2</v>
      </c>
      <c r="Q44" s="2">
        <v>9.8000000000000004E-2</v>
      </c>
      <c r="R44" s="2">
        <v>0.25800000000000001</v>
      </c>
      <c r="S44" s="2">
        <v>0.17600000000000002</v>
      </c>
      <c r="T44" s="2">
        <v>0.13600000000000001</v>
      </c>
      <c r="U44" s="2">
        <v>0.11599999999999999</v>
      </c>
      <c r="V44" s="2">
        <v>0.184</v>
      </c>
      <c r="W44" s="2">
        <v>8.5000000000000006E-2</v>
      </c>
      <c r="X44" s="2">
        <v>0.19600000000000001</v>
      </c>
      <c r="Y44" s="41">
        <v>5.446089467327675E-2</v>
      </c>
      <c r="Z44" s="2">
        <v>6.6413011161664981E-2</v>
      </c>
      <c r="AA44" s="2">
        <v>8.4000000000000005E-2</v>
      </c>
      <c r="AB44" s="2">
        <v>0.13300000000000001</v>
      </c>
      <c r="AC44" s="2">
        <v>4.0999999999999995E-2</v>
      </c>
      <c r="AD44" s="2">
        <v>7.400000000000001E-2</v>
      </c>
      <c r="AE44" s="2">
        <v>5.9000000000000004E-2</v>
      </c>
      <c r="AF44" s="2">
        <v>2.9127035488817121E-2</v>
      </c>
      <c r="AG44" s="2">
        <v>3.3000000000000002E-2</v>
      </c>
      <c r="AH44" s="2">
        <v>2.1000000000000001E-2</v>
      </c>
      <c r="AI44" s="2">
        <v>4.2999999999999997E-2</v>
      </c>
      <c r="AJ44" s="2">
        <v>4.8000000000000001E-2</v>
      </c>
      <c r="AK44" s="2">
        <v>0.26100000000000001</v>
      </c>
      <c r="AL44" s="2">
        <v>9.3000000000000013E-2</v>
      </c>
      <c r="AM44" s="2">
        <v>5.2000000000000005E-2</v>
      </c>
      <c r="AN44" s="2">
        <v>8.2664013790384461E-2</v>
      </c>
    </row>
    <row r="45" spans="1:40" x14ac:dyDescent="0.25">
      <c r="A45" s="1">
        <f t="shared" si="0"/>
        <v>40603</v>
      </c>
      <c r="B45" s="2">
        <v>7.400000000000001E-2</v>
      </c>
      <c r="C45" s="2">
        <v>9.6000000000000002E-2</v>
      </c>
      <c r="D45" s="2">
        <v>2.3E-2</v>
      </c>
      <c r="E45" s="2">
        <v>2.3E-2</v>
      </c>
      <c r="F45" s="2">
        <v>1.1000000000000001E-2</v>
      </c>
      <c r="G45" s="2">
        <v>0.14099999999999999</v>
      </c>
      <c r="H45" s="2">
        <v>9.860269079599937E-2</v>
      </c>
      <c r="I45" s="2">
        <v>9.2309100964787838E-2</v>
      </c>
      <c r="J45" s="2">
        <v>0.11</v>
      </c>
      <c r="K45" s="2">
        <v>8.4000000000000005E-2</v>
      </c>
      <c r="L45" s="2">
        <v>5.9000000000000004E-2</v>
      </c>
      <c r="M45" s="2">
        <v>-0.01</v>
      </c>
      <c r="N45" s="2">
        <v>0.22600000000000001</v>
      </c>
      <c r="O45" s="2">
        <v>5.7999999999999996E-2</v>
      </c>
      <c r="P45" s="2">
        <v>0.14800000000000002</v>
      </c>
      <c r="Q45" s="2">
        <v>0.105</v>
      </c>
      <c r="R45" s="2">
        <v>0.185</v>
      </c>
      <c r="S45" s="2">
        <v>8.1000000000000003E-2</v>
      </c>
      <c r="T45" s="2">
        <v>7.2000000000000008E-2</v>
      </c>
      <c r="U45" s="2">
        <v>7.2999999999999995E-2</v>
      </c>
      <c r="V45" s="2">
        <v>0.10099999999999999</v>
      </c>
      <c r="W45" s="2">
        <v>0.10099999999999999</v>
      </c>
      <c r="X45" s="2">
        <v>-2.3E-2</v>
      </c>
      <c r="Y45" s="41">
        <v>4.9780308735621226E-2</v>
      </c>
      <c r="Z45" s="2">
        <v>5.547522603576005E-2</v>
      </c>
      <c r="AA45" s="2">
        <v>7.2999999999999995E-2</v>
      </c>
      <c r="AB45" s="2">
        <v>9.6000000000000002E-2</v>
      </c>
      <c r="AC45" s="2">
        <v>3.1E-2</v>
      </c>
      <c r="AD45" s="2">
        <v>9.4E-2</v>
      </c>
      <c r="AE45" s="2">
        <v>6.0999999999999999E-2</v>
      </c>
      <c r="AF45" s="2">
        <v>3.7363473143667392E-2</v>
      </c>
      <c r="AG45" s="2">
        <v>4.9000000000000002E-2</v>
      </c>
      <c r="AH45" s="2">
        <v>1.7000000000000001E-2</v>
      </c>
      <c r="AI45" s="2">
        <v>0.05</v>
      </c>
      <c r="AJ45" s="2">
        <v>4.9000000000000002E-2</v>
      </c>
      <c r="AK45" s="2">
        <v>-1.2E-2</v>
      </c>
      <c r="AL45" s="2">
        <v>2.7000000000000003E-2</v>
      </c>
      <c r="AM45" s="2">
        <v>4.7E-2</v>
      </c>
      <c r="AN45" s="2">
        <v>5.5084421927217964E-2</v>
      </c>
    </row>
    <row r="46" spans="1:40" x14ac:dyDescent="0.25">
      <c r="A46" s="1">
        <f t="shared" si="0"/>
        <v>40695</v>
      </c>
      <c r="B46" s="2">
        <v>0.10300000000000001</v>
      </c>
      <c r="C46" s="2">
        <v>9.4E-2</v>
      </c>
      <c r="D46" s="2">
        <v>-7.0999999999999994E-2</v>
      </c>
      <c r="E46" s="2">
        <v>-7.0999999999999994E-2</v>
      </c>
      <c r="F46" s="2">
        <v>-6.0999999999999999E-2</v>
      </c>
      <c r="G46" s="2">
        <v>5.7999999999999996E-2</v>
      </c>
      <c r="H46" s="2">
        <v>6.544462045425381E-2</v>
      </c>
      <c r="I46" s="2">
        <v>4.5067427707055741E-2</v>
      </c>
      <c r="J46" s="2">
        <v>0.10300000000000001</v>
      </c>
      <c r="K46" s="2">
        <v>2.8999999999999998E-2</v>
      </c>
      <c r="L46" s="2">
        <v>4.7E-2</v>
      </c>
      <c r="M46" s="2">
        <v>-1.3000000000000001E-2</v>
      </c>
      <c r="N46" s="2">
        <v>4.4999999999999998E-2</v>
      </c>
      <c r="O46" s="2">
        <v>6.9000000000000006E-2</v>
      </c>
      <c r="P46" s="2">
        <v>2.6000000000000002E-2</v>
      </c>
      <c r="Q46" s="2">
        <v>9.0999999999999998E-2</v>
      </c>
      <c r="R46" s="2">
        <v>0.14199999999999999</v>
      </c>
      <c r="S46" s="2">
        <v>2.6000000000000002E-2</v>
      </c>
      <c r="T46" s="2">
        <v>-1.9E-2</v>
      </c>
      <c r="U46" s="2">
        <v>2.2000000000000002E-2</v>
      </c>
      <c r="V46" s="2">
        <v>7.8E-2</v>
      </c>
      <c r="W46" s="2">
        <v>7.8E-2</v>
      </c>
      <c r="X46" s="2">
        <v>2.6000000000000002E-2</v>
      </c>
      <c r="Y46" s="41">
        <v>5.0433625743924404E-2</v>
      </c>
      <c r="Z46" s="2">
        <v>5.3781772396193972E-2</v>
      </c>
      <c r="AA46" s="2">
        <v>6.5000000000000002E-2</v>
      </c>
      <c r="AB46" s="2">
        <v>8.5999999999999993E-2</v>
      </c>
      <c r="AC46" s="2">
        <v>3.7999999999999999E-2</v>
      </c>
      <c r="AD46" s="2">
        <v>8.3000000000000004E-2</v>
      </c>
      <c r="AE46" s="2">
        <v>5.7999999999999996E-2</v>
      </c>
      <c r="AF46" s="2">
        <v>4.4330157029893069E-2</v>
      </c>
      <c r="AG46" s="2">
        <v>0.06</v>
      </c>
      <c r="AH46" s="2">
        <v>1.8000000000000002E-2</v>
      </c>
      <c r="AI46" s="2">
        <v>4.8000000000000001E-2</v>
      </c>
      <c r="AJ46" s="2">
        <v>2.1000000000000001E-2</v>
      </c>
      <c r="AK46" s="2">
        <v>-0.10199999999999999</v>
      </c>
      <c r="AL46" s="2">
        <v>0.01</v>
      </c>
      <c r="AM46" s="2">
        <v>1.9E-2</v>
      </c>
      <c r="AN46" s="2">
        <v>4.7924430261567785E-2</v>
      </c>
    </row>
    <row r="47" spans="1:40" x14ac:dyDescent="0.25">
      <c r="A47" s="1">
        <f t="shared" si="0"/>
        <v>40787</v>
      </c>
      <c r="B47" s="2">
        <v>0.10400000000000001</v>
      </c>
      <c r="C47" s="2">
        <v>7.8E-2</v>
      </c>
      <c r="D47" s="2">
        <v>-1E-3</v>
      </c>
      <c r="E47" s="2">
        <v>-1E-3</v>
      </c>
      <c r="F47" s="2">
        <v>-7.2999999999999995E-2</v>
      </c>
      <c r="G47" s="2">
        <v>-3.9E-2</v>
      </c>
      <c r="H47" s="2">
        <v>5.3400728692921007E-2</v>
      </c>
      <c r="I47" s="2">
        <v>2.9515929723672674E-2</v>
      </c>
      <c r="J47" s="2">
        <v>9.9000000000000005E-2</v>
      </c>
      <c r="K47" s="2">
        <v>1.3999999999999999E-2</v>
      </c>
      <c r="L47" s="2">
        <v>2.7000000000000003E-2</v>
      </c>
      <c r="M47" s="2">
        <v>6.9999999999999993E-3</v>
      </c>
      <c r="N47" s="2">
        <v>-0.125</v>
      </c>
      <c r="O47" s="2">
        <v>7.2000000000000008E-2</v>
      </c>
      <c r="P47" s="2">
        <v>5.7000000000000002E-2</v>
      </c>
      <c r="Q47" s="2">
        <v>6.9000000000000006E-2</v>
      </c>
      <c r="R47" s="2">
        <v>6.4000000000000001E-2</v>
      </c>
      <c r="S47" s="2">
        <v>-1.1000000000000001E-2</v>
      </c>
      <c r="T47" s="2">
        <v>-7.5999999999999998E-2</v>
      </c>
      <c r="U47" s="2">
        <v>-2.2000000000000002E-2</v>
      </c>
      <c r="V47" s="2">
        <v>-1.3000000000000001E-2</v>
      </c>
      <c r="W47" s="2">
        <v>0.10300000000000001</v>
      </c>
      <c r="X47" s="2">
        <v>5.7000000000000002E-2</v>
      </c>
      <c r="Y47" s="41">
        <v>4.8821115865902431E-2</v>
      </c>
      <c r="Z47" s="2">
        <v>4.9276079376449289E-2</v>
      </c>
      <c r="AA47" s="2">
        <v>5.5999999999999994E-2</v>
      </c>
      <c r="AB47" s="2">
        <v>0.109</v>
      </c>
      <c r="AC47" s="2">
        <v>3.7000000000000005E-2</v>
      </c>
      <c r="AD47" s="2">
        <v>6.3E-2</v>
      </c>
      <c r="AE47" s="2">
        <v>5.2000000000000005E-2</v>
      </c>
      <c r="AF47" s="2">
        <v>4.8072499962985127E-2</v>
      </c>
      <c r="AG47" s="2">
        <v>6.4000000000000001E-2</v>
      </c>
      <c r="AH47" s="2">
        <v>2.2000000000000002E-2</v>
      </c>
      <c r="AI47" s="2">
        <v>4.2000000000000003E-2</v>
      </c>
      <c r="AJ47" s="2">
        <v>2.8999999999999998E-2</v>
      </c>
      <c r="AK47" s="2">
        <v>-8.6999999999999994E-2</v>
      </c>
      <c r="AL47" s="2">
        <v>-2E-3</v>
      </c>
      <c r="AM47" s="2">
        <v>2.5000000000000001E-2</v>
      </c>
      <c r="AN47" s="2">
        <v>3.346192342338683E-2</v>
      </c>
    </row>
    <row r="48" spans="1:40" x14ac:dyDescent="0.25">
      <c r="A48" s="1">
        <f t="shared" si="0"/>
        <v>40878</v>
      </c>
      <c r="B48" s="2">
        <v>0.106</v>
      </c>
      <c r="C48" s="2">
        <v>5.5999999999999994E-2</v>
      </c>
      <c r="D48" s="2">
        <v>-7.6999999999999999E-2</v>
      </c>
      <c r="E48" s="2">
        <v>-7.6999999999999999E-2</v>
      </c>
      <c r="F48" s="2">
        <v>-6.3E-2</v>
      </c>
      <c r="G48" s="2">
        <v>-0.10300000000000001</v>
      </c>
      <c r="H48" s="2">
        <v>3.9469988189107852E-2</v>
      </c>
      <c r="I48" s="2">
        <v>1.9762876922760464E-2</v>
      </c>
      <c r="J48" s="2">
        <v>7.8E-2</v>
      </c>
      <c r="K48" s="2">
        <v>2.2000000000000002E-2</v>
      </c>
      <c r="L48" s="2">
        <v>1.1000000000000001E-2</v>
      </c>
      <c r="M48" s="2">
        <v>2.8999999999999998E-2</v>
      </c>
      <c r="N48" s="2">
        <v>-0.23100000000000001</v>
      </c>
      <c r="O48" s="2">
        <v>6.9000000000000006E-2</v>
      </c>
      <c r="P48" s="2">
        <v>0.02</v>
      </c>
      <c r="Q48" s="2">
        <v>4.4999999999999998E-2</v>
      </c>
      <c r="R48" s="2">
        <v>2.3E-2</v>
      </c>
      <c r="S48" s="2">
        <v>-3.4000000000000002E-2</v>
      </c>
      <c r="T48" s="2">
        <v>-2.2000000000000002E-2</v>
      </c>
      <c r="U48" s="2">
        <v>-0.04</v>
      </c>
      <c r="V48" s="2">
        <v>-0.03</v>
      </c>
      <c r="W48" s="2">
        <v>5.5999999999999994E-2</v>
      </c>
      <c r="X48" s="2">
        <v>0.25900000000000001</v>
      </c>
      <c r="Y48" s="41">
        <v>5.9443034901659697E-2</v>
      </c>
      <c r="Z48" s="2">
        <v>4.760231496185896E-2</v>
      </c>
      <c r="AA48" s="2">
        <v>4.8000000000000001E-2</v>
      </c>
      <c r="AB48" s="2">
        <v>8.6999999999999994E-2</v>
      </c>
      <c r="AC48" s="2">
        <v>4.4000000000000004E-2</v>
      </c>
      <c r="AD48" s="2">
        <v>4.2999999999999997E-2</v>
      </c>
      <c r="AE48" s="2">
        <v>5.0999999999999997E-2</v>
      </c>
      <c r="AF48" s="2">
        <v>8.3586769775651826E-2</v>
      </c>
      <c r="AG48" s="2">
        <v>0.10800000000000001</v>
      </c>
      <c r="AH48" s="2">
        <v>4.9000000000000002E-2</v>
      </c>
      <c r="AI48" s="2">
        <v>4.9000000000000002E-2</v>
      </c>
      <c r="AJ48" s="2">
        <v>2.8999999999999998E-2</v>
      </c>
      <c r="AK48" s="2">
        <v>5.5999999999999994E-2</v>
      </c>
      <c r="AL48" s="2">
        <v>-1.8000000000000002E-2</v>
      </c>
      <c r="AM48" s="2">
        <v>2.7999999999999997E-2</v>
      </c>
      <c r="AN48" s="2">
        <v>6.6118677528864245E-2</v>
      </c>
    </row>
    <row r="49" spans="1:40" x14ac:dyDescent="0.25">
      <c r="A49" s="1">
        <f t="shared" si="0"/>
        <v>40969</v>
      </c>
      <c r="B49" s="2">
        <v>9.4E-2</v>
      </c>
      <c r="C49" s="2">
        <v>1.9E-2</v>
      </c>
      <c r="D49" s="2">
        <v>-3.9E-2</v>
      </c>
      <c r="E49" s="2">
        <v>-3.9E-2</v>
      </c>
      <c r="F49" s="2">
        <v>-0.02</v>
      </c>
      <c r="G49" s="2">
        <v>-0.13</v>
      </c>
      <c r="H49" s="2">
        <v>3.1848346075830536E-2</v>
      </c>
      <c r="I49" s="2">
        <v>2.0041956229898794E-2</v>
      </c>
      <c r="J49" s="2">
        <v>5.4000000000000006E-2</v>
      </c>
      <c r="K49" s="2">
        <v>1.2E-2</v>
      </c>
      <c r="L49" s="2">
        <v>-0.01</v>
      </c>
      <c r="M49" s="2">
        <v>7.9000000000000001E-2</v>
      </c>
      <c r="N49" s="2">
        <v>-0.24199999999999999</v>
      </c>
      <c r="O49" s="2">
        <v>4.7E-2</v>
      </c>
      <c r="P49" s="2">
        <v>2.1000000000000001E-2</v>
      </c>
      <c r="Q49" s="2">
        <v>2.7999999999999997E-2</v>
      </c>
      <c r="R49" s="2">
        <v>3.1E-2</v>
      </c>
      <c r="S49" s="2">
        <v>-3.7999999999999999E-2</v>
      </c>
      <c r="T49" s="2">
        <v>-1E-3</v>
      </c>
      <c r="U49" s="2">
        <v>-7.2000000000000008E-2</v>
      </c>
      <c r="V49" s="2">
        <v>-1.4999999999999999E-2</v>
      </c>
      <c r="W49" s="2">
        <v>8.199999999999999E-2</v>
      </c>
      <c r="X49" s="2">
        <v>0.23600000000000002</v>
      </c>
      <c r="Y49" s="41">
        <v>4.9113173261645882E-2</v>
      </c>
      <c r="Z49" s="2">
        <v>4.2328656124080322E-2</v>
      </c>
      <c r="AA49" s="2">
        <v>4.9000000000000002E-2</v>
      </c>
      <c r="AB49" s="2">
        <v>0.03</v>
      </c>
      <c r="AC49" s="2">
        <v>4.4999999999999998E-2</v>
      </c>
      <c r="AD49" s="2">
        <v>1.3000000000000001E-2</v>
      </c>
      <c r="AE49" s="2">
        <v>3.4000000000000002E-2</v>
      </c>
      <c r="AF49" s="2">
        <v>6.1753603453312378E-2</v>
      </c>
      <c r="AG49" s="2">
        <v>7.400000000000001E-2</v>
      </c>
      <c r="AH49" s="2">
        <v>4.5999999999999999E-2</v>
      </c>
      <c r="AI49" s="2">
        <v>2.1000000000000001E-2</v>
      </c>
      <c r="AJ49" s="2">
        <v>2.7999999999999997E-2</v>
      </c>
      <c r="AK49" s="2">
        <v>0.23499999999999999</v>
      </c>
      <c r="AL49" s="2">
        <v>9.0000000000000011E-3</v>
      </c>
      <c r="AM49" s="2">
        <v>0.03</v>
      </c>
      <c r="AN49" s="2">
        <v>5.6687215883432174E-2</v>
      </c>
    </row>
    <row r="50" spans="1:40" x14ac:dyDescent="0.25">
      <c r="A50" s="1">
        <f t="shared" si="0"/>
        <v>41061</v>
      </c>
      <c r="B50" s="2">
        <v>0.09</v>
      </c>
      <c r="C50" s="2">
        <v>-6.0000000000000001E-3</v>
      </c>
      <c r="D50" s="2">
        <v>-1.3000000000000001E-2</v>
      </c>
      <c r="E50" s="2">
        <v>-1.3000000000000001E-2</v>
      </c>
      <c r="F50" s="2">
        <v>2.7000000000000003E-2</v>
      </c>
      <c r="G50" s="2">
        <v>-0.124</v>
      </c>
      <c r="H50" s="2">
        <v>1.8560879749966563E-2</v>
      </c>
      <c r="I50" s="2">
        <v>1.2075490594048111E-2</v>
      </c>
      <c r="J50" s="2">
        <v>3.1E-2</v>
      </c>
      <c r="K50" s="2">
        <v>2.7999999999999997E-2</v>
      </c>
      <c r="L50" s="2">
        <v>-1.4999999999999999E-2</v>
      </c>
      <c r="M50" s="2">
        <v>0.114</v>
      </c>
      <c r="N50" s="2">
        <v>-0.22699999999999998</v>
      </c>
      <c r="O50" s="2">
        <v>2.8999999999999998E-2</v>
      </c>
      <c r="P50" s="2">
        <v>-1E-3</v>
      </c>
      <c r="Q50" s="2">
        <v>6.9999999999999993E-3</v>
      </c>
      <c r="R50" s="2">
        <v>-5.0000000000000001E-3</v>
      </c>
      <c r="S50" s="2">
        <v>-0.04</v>
      </c>
      <c r="T50" s="2">
        <v>2.4E-2</v>
      </c>
      <c r="U50" s="2">
        <v>-7.2999999999999995E-2</v>
      </c>
      <c r="V50" s="2">
        <v>-5.2000000000000005E-2</v>
      </c>
      <c r="W50" s="2">
        <v>9.3000000000000013E-2</v>
      </c>
      <c r="X50" s="2">
        <v>0.107</v>
      </c>
      <c r="Y50" s="41">
        <v>5.7119505717905916E-2</v>
      </c>
      <c r="Z50" s="2">
        <v>4.5105000734726675E-2</v>
      </c>
      <c r="AA50" s="2">
        <v>4.5999999999999999E-2</v>
      </c>
      <c r="AB50" s="2">
        <v>0.04</v>
      </c>
      <c r="AC50" s="2">
        <v>5.5999999999999994E-2</v>
      </c>
      <c r="AD50" s="2">
        <v>-8.0000000000000002E-3</v>
      </c>
      <c r="AE50" s="2">
        <v>3.2000000000000001E-2</v>
      </c>
      <c r="AF50" s="2">
        <v>7.5673766461276992E-2</v>
      </c>
      <c r="AG50" s="2">
        <v>8.5999999999999993E-2</v>
      </c>
      <c r="AH50" s="2">
        <v>6.3E-2</v>
      </c>
      <c r="AI50" s="2">
        <v>2.4E-2</v>
      </c>
      <c r="AJ50" s="2">
        <v>2.5000000000000001E-2</v>
      </c>
      <c r="AK50" s="2">
        <v>0.57399999999999995</v>
      </c>
      <c r="AL50" s="2">
        <v>2.7999999999999997E-2</v>
      </c>
      <c r="AM50" s="2">
        <v>3.2000000000000001E-2</v>
      </c>
      <c r="AN50" s="2">
        <v>4.7123699343966097E-2</v>
      </c>
    </row>
    <row r="51" spans="1:40" x14ac:dyDescent="0.25">
      <c r="A51" s="1">
        <f t="shared" si="0"/>
        <v>41153</v>
      </c>
      <c r="B51" s="2">
        <v>9.6000000000000002E-2</v>
      </c>
      <c r="C51" s="2">
        <v>-0.01</v>
      </c>
      <c r="D51" s="2">
        <v>-2.7999999999999997E-2</v>
      </c>
      <c r="E51" s="2">
        <v>-2.8999999999999998E-2</v>
      </c>
      <c r="F51" s="2">
        <v>2.6000000000000002E-2</v>
      </c>
      <c r="G51" s="2">
        <v>-0.20800000000000002</v>
      </c>
      <c r="H51" s="2">
        <v>2.0525930364737599E-2</v>
      </c>
      <c r="I51" s="2">
        <v>1.3898047948115444E-2</v>
      </c>
      <c r="J51" s="2">
        <v>3.3000000000000002E-2</v>
      </c>
      <c r="K51" s="2">
        <v>1.3000000000000001E-2</v>
      </c>
      <c r="L51" s="2">
        <v>3.0000000000000001E-3</v>
      </c>
      <c r="M51" s="2">
        <v>0.122</v>
      </c>
      <c r="N51" s="2">
        <v>-0.36700000000000005</v>
      </c>
      <c r="O51" s="2">
        <v>1.1000000000000001E-2</v>
      </c>
      <c r="P51" s="2">
        <v>1.6E-2</v>
      </c>
      <c r="Q51" s="2">
        <v>-3.0000000000000001E-3</v>
      </c>
      <c r="R51" s="2">
        <v>-0.01</v>
      </c>
      <c r="S51" s="2">
        <v>-3.9E-2</v>
      </c>
      <c r="T51" s="2">
        <v>8.1000000000000003E-2</v>
      </c>
      <c r="U51" s="2">
        <v>-6.4000000000000001E-2</v>
      </c>
      <c r="V51" s="2">
        <v>-3.9E-2</v>
      </c>
      <c r="W51" s="2">
        <v>8.3000000000000004E-2</v>
      </c>
      <c r="X51" s="2">
        <v>0.13200000000000001</v>
      </c>
      <c r="Y51" s="41">
        <v>3.5526508545223656E-2</v>
      </c>
      <c r="Z51" s="2">
        <v>4.852850859944513E-2</v>
      </c>
      <c r="AA51" s="2">
        <v>0.05</v>
      </c>
      <c r="AB51" s="2">
        <v>8.3000000000000004E-2</v>
      </c>
      <c r="AC51" s="2">
        <v>6.9000000000000006E-2</v>
      </c>
      <c r="AD51" s="2">
        <v>-1.1000000000000001E-2</v>
      </c>
      <c r="AE51" s="2">
        <v>1.4999999999999999E-2</v>
      </c>
      <c r="AF51" s="2">
        <v>1.7633899514989393E-2</v>
      </c>
      <c r="AG51" s="2">
        <v>1.1000000000000001E-2</v>
      </c>
      <c r="AH51" s="2">
        <v>3.1E-2</v>
      </c>
      <c r="AI51" s="2">
        <v>-3.0000000000000001E-3</v>
      </c>
      <c r="AJ51" s="2">
        <v>5.0000000000000001E-3</v>
      </c>
      <c r="AK51" s="2">
        <v>2.7000000000000003E-2</v>
      </c>
      <c r="AL51" s="2">
        <v>6.2E-2</v>
      </c>
      <c r="AM51" s="2">
        <v>8.0000000000000002E-3</v>
      </c>
      <c r="AN51" s="2">
        <v>2.0804825201043098E-2</v>
      </c>
    </row>
    <row r="52" spans="1:40" x14ac:dyDescent="0.25">
      <c r="A52" s="1">
        <f t="shared" si="0"/>
        <v>41244</v>
      </c>
      <c r="B52" s="2">
        <v>0.107</v>
      </c>
      <c r="C52" s="2">
        <v>1E-3</v>
      </c>
      <c r="D52" s="2">
        <v>-2.4E-2</v>
      </c>
      <c r="E52" s="2">
        <v>-2.4E-2</v>
      </c>
      <c r="F52" s="2">
        <v>2.7000000000000003E-2</v>
      </c>
      <c r="G52" s="2">
        <v>-0.13600000000000001</v>
      </c>
      <c r="H52" s="2">
        <v>2.7814130204500298E-2</v>
      </c>
      <c r="I52" s="2">
        <v>2.2021995455369536E-2</v>
      </c>
      <c r="J52" s="2">
        <v>3.9E-2</v>
      </c>
      <c r="K52" s="2">
        <v>2.6000000000000002E-2</v>
      </c>
      <c r="L52" s="2">
        <v>2.8999999999999998E-2</v>
      </c>
      <c r="M52" s="2">
        <v>0.125</v>
      </c>
      <c r="N52" s="2">
        <v>-0.248</v>
      </c>
      <c r="O52" s="2">
        <v>-8.0000000000000002E-3</v>
      </c>
      <c r="P52" s="2">
        <v>1.3999999999999999E-2</v>
      </c>
      <c r="Q52" s="2">
        <v>0</v>
      </c>
      <c r="R52" s="2">
        <v>3.4000000000000002E-2</v>
      </c>
      <c r="S52" s="2">
        <v>-2.6000000000000002E-2</v>
      </c>
      <c r="T52" s="2">
        <v>1.2E-2</v>
      </c>
      <c r="U52" s="2">
        <v>-5.2999999999999999E-2</v>
      </c>
      <c r="V52" s="2">
        <v>2.1000000000000001E-2</v>
      </c>
      <c r="W52" s="2">
        <v>0.13900000000000001</v>
      </c>
      <c r="X52" s="2">
        <v>7.4999999999999997E-2</v>
      </c>
      <c r="Y52" s="41">
        <v>4.1750433701806866E-2</v>
      </c>
      <c r="Z52" s="2">
        <v>5.0513563295926822E-2</v>
      </c>
      <c r="AA52" s="2">
        <v>5.4000000000000006E-2</v>
      </c>
      <c r="AB52" s="2">
        <v>7.4999999999999997E-2</v>
      </c>
      <c r="AC52" s="2">
        <v>7.0000000000000007E-2</v>
      </c>
      <c r="AD52" s="2">
        <v>-1E-3</v>
      </c>
      <c r="AE52" s="2">
        <v>0.02</v>
      </c>
      <c r="AF52" s="2">
        <v>3.173351192548246E-2</v>
      </c>
      <c r="AG52" s="2">
        <v>2.7000000000000003E-2</v>
      </c>
      <c r="AH52" s="2">
        <v>4.0999999999999995E-2</v>
      </c>
      <c r="AI52" s="2">
        <v>0.02</v>
      </c>
      <c r="AJ52" s="2">
        <v>1.3000000000000001E-2</v>
      </c>
      <c r="AK52" s="2">
        <v>0.71</v>
      </c>
      <c r="AL52" s="2">
        <v>7.4999999999999997E-2</v>
      </c>
      <c r="AM52" s="2">
        <v>2.7000000000000003E-2</v>
      </c>
      <c r="AN52" s="2">
        <v>4.4640517874186214E-2</v>
      </c>
    </row>
    <row r="53" spans="1:40" x14ac:dyDescent="0.25">
      <c r="A53" s="1">
        <f t="shared" si="0"/>
        <v>41334</v>
      </c>
      <c r="B53" s="2">
        <v>0.13</v>
      </c>
      <c r="C53" s="2">
        <v>2.7999999999999997E-2</v>
      </c>
      <c r="D53" s="2">
        <v>-0.10099999999999999</v>
      </c>
      <c r="E53" s="2">
        <v>-0.10199999999999999</v>
      </c>
      <c r="F53" s="2">
        <v>1.6E-2</v>
      </c>
      <c r="G53" s="2">
        <v>-0.217</v>
      </c>
      <c r="H53" s="2">
        <v>2.4830910957127417E-2</v>
      </c>
      <c r="I53" s="2">
        <v>1.4725227645888905E-2</v>
      </c>
      <c r="J53" s="2">
        <v>4.4000000000000004E-2</v>
      </c>
      <c r="K53" s="2">
        <v>5.5999999999999994E-2</v>
      </c>
      <c r="L53" s="2">
        <v>8.5000000000000006E-2</v>
      </c>
      <c r="M53" s="2">
        <v>0.11199999999999999</v>
      </c>
      <c r="N53" s="2">
        <v>-0.40799999999999997</v>
      </c>
      <c r="O53" s="2">
        <v>-2.7999999999999997E-2</v>
      </c>
      <c r="P53" s="2">
        <v>-0.04</v>
      </c>
      <c r="Q53" s="2">
        <v>0</v>
      </c>
      <c r="R53" s="2">
        <v>2.3E-2</v>
      </c>
      <c r="S53" s="2">
        <v>-6.9999999999999993E-3</v>
      </c>
      <c r="T53" s="2">
        <v>-1.3999999999999999E-2</v>
      </c>
      <c r="U53" s="2">
        <v>-1.4999999999999999E-2</v>
      </c>
      <c r="V53" s="2">
        <v>2.7999999999999997E-2</v>
      </c>
      <c r="W53" s="2">
        <v>6.0999999999999999E-2</v>
      </c>
      <c r="X53" s="2">
        <v>0.16600000000000001</v>
      </c>
      <c r="Y53" s="41">
        <v>5.066924168292597E-2</v>
      </c>
      <c r="Z53" s="2">
        <v>5.6965338763252271E-2</v>
      </c>
      <c r="AA53" s="2">
        <v>5.7999999999999996E-2</v>
      </c>
      <c r="AB53" s="2">
        <v>7.0000000000000007E-2</v>
      </c>
      <c r="AC53" s="2">
        <v>7.4999999999999997E-2</v>
      </c>
      <c r="AD53" s="2">
        <v>2.4E-2</v>
      </c>
      <c r="AE53" s="2">
        <v>2.7000000000000003E-2</v>
      </c>
      <c r="AF53" s="2">
        <v>4.1167703346752349E-2</v>
      </c>
      <c r="AG53" s="2">
        <v>3.7999999999999999E-2</v>
      </c>
      <c r="AH53" s="2">
        <v>4.7E-2</v>
      </c>
      <c r="AI53" s="2">
        <v>3.7000000000000005E-2</v>
      </c>
      <c r="AJ53" s="2">
        <v>-2E-3</v>
      </c>
      <c r="AK53" s="2">
        <v>0.38799999999999996</v>
      </c>
      <c r="AL53" s="2">
        <v>7.400000000000001E-2</v>
      </c>
      <c r="AM53" s="2">
        <v>8.0000000000000002E-3</v>
      </c>
      <c r="AN53" s="2">
        <v>5.0683504154606318E-2</v>
      </c>
    </row>
    <row r="54" spans="1:40" x14ac:dyDescent="0.25">
      <c r="A54" s="1">
        <f t="shared" si="0"/>
        <v>41426</v>
      </c>
      <c r="B54" s="2">
        <v>0.13100000000000001</v>
      </c>
      <c r="C54" s="2">
        <v>0.05</v>
      </c>
      <c r="D54" s="2">
        <v>-9.4E-2</v>
      </c>
      <c r="E54" s="2">
        <v>-9.5000000000000001E-2</v>
      </c>
      <c r="F54" s="2">
        <v>1.6E-2</v>
      </c>
      <c r="G54" s="2">
        <v>-0.105</v>
      </c>
      <c r="H54" s="2">
        <v>4.246170430840035E-2</v>
      </c>
      <c r="I54" s="2">
        <v>3.3859961983945697E-2</v>
      </c>
      <c r="J54" s="2">
        <v>5.9000000000000004E-2</v>
      </c>
      <c r="K54" s="2">
        <v>5.2999999999999999E-2</v>
      </c>
      <c r="L54" s="2">
        <v>0.127</v>
      </c>
      <c r="M54" s="2">
        <v>9.6999999999999989E-2</v>
      </c>
      <c r="N54" s="2">
        <v>-0.217</v>
      </c>
      <c r="O54" s="2">
        <v>-1.9E-2</v>
      </c>
      <c r="P54" s="2">
        <v>6.0000000000000001E-3</v>
      </c>
      <c r="Q54" s="2">
        <v>1.9E-2</v>
      </c>
      <c r="R54" s="2">
        <v>5.5E-2</v>
      </c>
      <c r="S54" s="2">
        <v>6.9999999999999993E-3</v>
      </c>
      <c r="T54" s="2">
        <v>-1.2E-2</v>
      </c>
      <c r="U54" s="2">
        <v>1.3000000000000001E-2</v>
      </c>
      <c r="V54" s="2">
        <v>7.6999999999999999E-2</v>
      </c>
      <c r="W54" s="2">
        <v>6.0999999999999999E-2</v>
      </c>
      <c r="X54" s="2">
        <v>0.19699999999999998</v>
      </c>
      <c r="Y54" s="41">
        <v>5.2228301382528208E-2</v>
      </c>
      <c r="Z54" s="2">
        <v>6.0628007393231487E-2</v>
      </c>
      <c r="AA54" s="2">
        <v>6.8000000000000005E-2</v>
      </c>
      <c r="AB54" s="2">
        <v>5.7999999999999996E-2</v>
      </c>
      <c r="AC54" s="2">
        <v>7.8E-2</v>
      </c>
      <c r="AD54" s="2">
        <v>4.4000000000000004E-2</v>
      </c>
      <c r="AE54" s="2">
        <v>2.3E-2</v>
      </c>
      <c r="AF54" s="2">
        <v>4.1435052254039206E-2</v>
      </c>
      <c r="AG54" s="2">
        <v>3.9E-2</v>
      </c>
      <c r="AH54" s="2">
        <v>4.5999999999999999E-2</v>
      </c>
      <c r="AI54" s="2">
        <v>3.7999999999999999E-2</v>
      </c>
      <c r="AJ54" s="2">
        <v>1.8000000000000002E-2</v>
      </c>
      <c r="AK54" s="2">
        <v>8.900000000000001E-2</v>
      </c>
      <c r="AL54" s="2">
        <v>7.8E-2</v>
      </c>
      <c r="AM54" s="2">
        <v>2.2000000000000002E-2</v>
      </c>
      <c r="AN54" s="2">
        <v>5.7431438446769345E-2</v>
      </c>
    </row>
    <row r="55" spans="1:40" x14ac:dyDescent="0.25">
      <c r="A55" s="1">
        <f t="shared" si="0"/>
        <v>41518</v>
      </c>
      <c r="B55" s="2">
        <v>0.12300000000000001</v>
      </c>
      <c r="C55" s="2">
        <v>6.2E-2</v>
      </c>
      <c r="D55" s="2">
        <v>-0.154</v>
      </c>
      <c r="E55" s="2">
        <v>-0.155</v>
      </c>
      <c r="F55" s="2">
        <v>3.1E-2</v>
      </c>
      <c r="G55" s="2">
        <v>0.156</v>
      </c>
      <c r="H55" s="2">
        <v>5.6014533551124179E-2</v>
      </c>
      <c r="I55" s="2">
        <v>5.1758397384741306E-2</v>
      </c>
      <c r="J55" s="2">
        <v>6.4000000000000001E-2</v>
      </c>
      <c r="K55" s="2">
        <v>5.0999999999999997E-2</v>
      </c>
      <c r="L55" s="2">
        <v>0.151</v>
      </c>
      <c r="M55" s="2">
        <v>9.5000000000000001E-2</v>
      </c>
      <c r="N55" s="2">
        <v>0.25800000000000001</v>
      </c>
      <c r="O55" s="2">
        <v>0.02</v>
      </c>
      <c r="P55" s="2">
        <v>6.0999999999999999E-2</v>
      </c>
      <c r="Q55" s="2">
        <v>4.7E-2</v>
      </c>
      <c r="R55" s="2">
        <v>0.05</v>
      </c>
      <c r="S55" s="2">
        <v>2.1000000000000001E-2</v>
      </c>
      <c r="T55" s="2">
        <v>-3.9E-2</v>
      </c>
      <c r="U55" s="2">
        <v>5.2999999999999999E-2</v>
      </c>
      <c r="V55" s="2">
        <v>6.7000000000000004E-2</v>
      </c>
      <c r="W55" s="2">
        <v>4.9000000000000002E-2</v>
      </c>
      <c r="X55" s="2">
        <v>0.16399999999999998</v>
      </c>
      <c r="Y55" s="41">
        <v>6.0401434778185825E-2</v>
      </c>
      <c r="Z55" s="2">
        <v>7.1781019895906351E-2</v>
      </c>
      <c r="AA55" s="2">
        <v>7.400000000000001E-2</v>
      </c>
      <c r="AB55" s="2">
        <v>0.10199999999999999</v>
      </c>
      <c r="AC55" s="2">
        <v>8.8000000000000009E-2</v>
      </c>
      <c r="AD55" s="2">
        <v>5.9000000000000004E-2</v>
      </c>
      <c r="AE55" s="2">
        <v>3.7999999999999999E-2</v>
      </c>
      <c r="AF55" s="2">
        <v>3.8146535689173255E-2</v>
      </c>
      <c r="AG55" s="2">
        <v>3.4000000000000002E-2</v>
      </c>
      <c r="AH55" s="2">
        <v>4.0999999999999995E-2</v>
      </c>
      <c r="AI55" s="2">
        <v>7.0999999999999994E-2</v>
      </c>
      <c r="AJ55" s="2">
        <v>2.7000000000000003E-2</v>
      </c>
      <c r="AK55" s="2">
        <v>0.45899999999999996</v>
      </c>
      <c r="AL55" s="2">
        <v>0.05</v>
      </c>
      <c r="AM55" s="2">
        <v>3.4000000000000002E-2</v>
      </c>
      <c r="AN55" s="2">
        <v>0.10291728444701254</v>
      </c>
    </row>
    <row r="56" spans="1:40" x14ac:dyDescent="0.25">
      <c r="A56" s="1">
        <f t="shared" si="0"/>
        <v>41609</v>
      </c>
      <c r="B56" s="2">
        <v>9.6999999999999989E-2</v>
      </c>
      <c r="C56" s="2">
        <v>6.6000000000000003E-2</v>
      </c>
      <c r="D56" s="2">
        <v>-4.4999999999999998E-2</v>
      </c>
      <c r="E56" s="2">
        <v>-4.4999999999999998E-2</v>
      </c>
      <c r="F56" s="2">
        <v>1.8000000000000002E-2</v>
      </c>
      <c r="G56" s="2">
        <v>0.20300000000000001</v>
      </c>
      <c r="H56" s="2">
        <v>7.0883819254416558E-2</v>
      </c>
      <c r="I56" s="2">
        <v>5.8450571066211765E-2</v>
      </c>
      <c r="J56" s="2">
        <v>9.5000000000000001E-2</v>
      </c>
      <c r="K56" s="2">
        <v>3.0000000000000001E-3</v>
      </c>
      <c r="L56" s="2">
        <v>0.159</v>
      </c>
      <c r="M56" s="2">
        <v>8.5000000000000006E-2</v>
      </c>
      <c r="N56" s="2">
        <v>0.33899999999999997</v>
      </c>
      <c r="O56" s="2">
        <v>8.900000000000001E-2</v>
      </c>
      <c r="P56" s="2">
        <v>7.0000000000000007E-2</v>
      </c>
      <c r="Q56" s="2">
        <v>8.4000000000000005E-2</v>
      </c>
      <c r="R56" s="2">
        <v>3.3000000000000002E-2</v>
      </c>
      <c r="S56" s="2">
        <v>2.8999999999999998E-2</v>
      </c>
      <c r="T56" s="2">
        <v>8.900000000000001E-2</v>
      </c>
      <c r="U56" s="2">
        <v>0.11</v>
      </c>
      <c r="V56" s="2">
        <v>3.3000000000000002E-2</v>
      </c>
      <c r="W56" s="2">
        <v>8.6999999999999994E-2</v>
      </c>
      <c r="X56" s="2">
        <v>2.2000000000000002E-2</v>
      </c>
      <c r="Y56" s="41">
        <v>5.5807642562171855E-2</v>
      </c>
      <c r="Z56" s="2">
        <v>6.997031100188944E-2</v>
      </c>
      <c r="AA56" s="2">
        <v>8.6999999999999994E-2</v>
      </c>
      <c r="AB56" s="2">
        <v>-1.2E-2</v>
      </c>
      <c r="AC56" s="2">
        <v>8.5999999999999993E-2</v>
      </c>
      <c r="AD56" s="2">
        <v>6.7000000000000004E-2</v>
      </c>
      <c r="AE56" s="2">
        <v>0.03</v>
      </c>
      <c r="AF56" s="2">
        <v>3.6597502373120427E-2</v>
      </c>
      <c r="AG56" s="2">
        <v>3.5000000000000003E-2</v>
      </c>
      <c r="AH56" s="2">
        <v>3.7999999999999999E-2</v>
      </c>
      <c r="AI56" s="2">
        <v>5.2000000000000005E-2</v>
      </c>
      <c r="AJ56" s="2">
        <v>4.2999999999999997E-2</v>
      </c>
      <c r="AK56" s="2">
        <v>-0.04</v>
      </c>
      <c r="AL56" s="2">
        <v>3.4000000000000002E-2</v>
      </c>
      <c r="AM56" s="2">
        <v>0.04</v>
      </c>
      <c r="AN56" s="2">
        <v>6.586349975373551E-2</v>
      </c>
    </row>
    <row r="57" spans="1:40" x14ac:dyDescent="0.25">
      <c r="A57" s="1">
        <f t="shared" si="0"/>
        <v>41699</v>
      </c>
      <c r="B57" s="2">
        <v>5.2000000000000005E-2</v>
      </c>
      <c r="C57" s="2">
        <v>6.2E-2</v>
      </c>
      <c r="D57" s="2">
        <v>-0.19800000000000001</v>
      </c>
      <c r="E57" s="2">
        <v>-0.19899999999999998</v>
      </c>
      <c r="F57" s="2">
        <v>3.9E-2</v>
      </c>
      <c r="G57" s="2">
        <v>0.51800000000000002</v>
      </c>
      <c r="H57" s="2">
        <v>0.10886129168712033</v>
      </c>
      <c r="I57" s="2">
        <v>9.8857387725285406E-2</v>
      </c>
      <c r="J57" s="2">
        <v>0.128</v>
      </c>
      <c r="K57" s="2">
        <v>-3.3000000000000002E-2</v>
      </c>
      <c r="L57" s="2">
        <v>0.157</v>
      </c>
      <c r="M57" s="2">
        <v>9.3000000000000013E-2</v>
      </c>
      <c r="N57" s="2">
        <v>1.095</v>
      </c>
      <c r="O57" s="2">
        <v>0.191</v>
      </c>
      <c r="P57" s="2">
        <v>0.16899999999999998</v>
      </c>
      <c r="Q57" s="2">
        <v>0.14099999999999999</v>
      </c>
      <c r="R57" s="2">
        <v>6.3E-2</v>
      </c>
      <c r="S57" s="2">
        <v>2.6000000000000002E-2</v>
      </c>
      <c r="T57" s="2">
        <v>0.17300000000000001</v>
      </c>
      <c r="U57" s="2">
        <v>0.17199999999999999</v>
      </c>
      <c r="V57" s="2">
        <v>4.2000000000000003E-2</v>
      </c>
      <c r="W57" s="2">
        <v>0.06</v>
      </c>
      <c r="X57" s="2">
        <v>7.5999999999999998E-2</v>
      </c>
      <c r="Y57" s="41">
        <v>6.6184055365124284E-2</v>
      </c>
      <c r="Z57" s="2">
        <v>8.0098287612299979E-2</v>
      </c>
      <c r="AA57" s="2">
        <v>0.10199999999999999</v>
      </c>
      <c r="AB57" s="2">
        <v>9.5000000000000001E-2</v>
      </c>
      <c r="AC57" s="2">
        <v>8.1000000000000003E-2</v>
      </c>
      <c r="AD57" s="2">
        <v>7.0999999999999994E-2</v>
      </c>
      <c r="AE57" s="2">
        <v>3.2000000000000001E-2</v>
      </c>
      <c r="AF57" s="2">
        <v>4.0194371998844458E-2</v>
      </c>
      <c r="AG57" s="2">
        <v>4.2000000000000003E-2</v>
      </c>
      <c r="AH57" s="2">
        <v>3.7000000000000005E-2</v>
      </c>
      <c r="AI57" s="2">
        <v>4.0999999999999995E-2</v>
      </c>
      <c r="AJ57" s="2">
        <v>2.7000000000000003E-2</v>
      </c>
      <c r="AK57" s="2">
        <v>-8.5999999999999993E-2</v>
      </c>
      <c r="AL57" s="2">
        <v>4.2000000000000003E-2</v>
      </c>
      <c r="AM57" s="2">
        <v>2.5000000000000001E-2</v>
      </c>
      <c r="AN57" s="2">
        <v>9.4155473296315684E-2</v>
      </c>
    </row>
    <row r="58" spans="1:40" x14ac:dyDescent="0.25">
      <c r="A58" s="1">
        <f t="shared" si="0"/>
        <v>41791</v>
      </c>
      <c r="B58" s="2">
        <v>3.2000000000000001E-2</v>
      </c>
      <c r="C58" s="2">
        <v>5.7999999999999996E-2</v>
      </c>
      <c r="D58" s="2">
        <v>-0.05</v>
      </c>
      <c r="E58" s="2">
        <v>-5.0999999999999997E-2</v>
      </c>
      <c r="F58" s="2">
        <v>5.4000000000000006E-2</v>
      </c>
      <c r="G58" s="2">
        <v>0.41799999999999998</v>
      </c>
      <c r="H58" s="2">
        <v>0.11824751599242012</v>
      </c>
      <c r="I58" s="2">
        <v>0.10306716077214695</v>
      </c>
      <c r="J58" s="2">
        <v>0.14800000000000002</v>
      </c>
      <c r="K58" s="2">
        <v>-7.2000000000000008E-2</v>
      </c>
      <c r="L58" s="2">
        <v>0.14300000000000002</v>
      </c>
      <c r="M58" s="2">
        <v>0.111</v>
      </c>
      <c r="N58" s="2">
        <v>0.71</v>
      </c>
      <c r="O58" s="2">
        <v>0.23199999999999998</v>
      </c>
      <c r="P58" s="2">
        <v>0.217</v>
      </c>
      <c r="Q58" s="2">
        <v>0.17499999999999999</v>
      </c>
      <c r="R58" s="2">
        <v>4.4000000000000004E-2</v>
      </c>
      <c r="S58" s="2">
        <v>6.6000000000000003E-2</v>
      </c>
      <c r="T58" s="2">
        <v>0.157</v>
      </c>
      <c r="U58" s="2">
        <v>0.16500000000000001</v>
      </c>
      <c r="V58" s="2">
        <v>6.0000000000000001E-3</v>
      </c>
      <c r="W58" s="2">
        <v>8.6999999999999994E-2</v>
      </c>
      <c r="X58" s="2">
        <v>3.9E-2</v>
      </c>
      <c r="Y58" s="41">
        <v>6.1089959944033101E-2</v>
      </c>
      <c r="Z58" s="2">
        <v>7.3077121741720319E-2</v>
      </c>
      <c r="AA58" s="2">
        <v>0.109</v>
      </c>
      <c r="AB58" s="2">
        <v>-1.8000000000000002E-2</v>
      </c>
      <c r="AC58" s="2">
        <v>6.6000000000000003E-2</v>
      </c>
      <c r="AD58" s="2">
        <v>7.0000000000000007E-2</v>
      </c>
      <c r="AE58" s="2">
        <v>3.2000000000000001E-2</v>
      </c>
      <c r="AF58" s="2">
        <v>3.7810481009701302E-2</v>
      </c>
      <c r="AG58" s="2">
        <v>4.0999999999999995E-2</v>
      </c>
      <c r="AH58" s="2">
        <v>3.3000000000000002E-2</v>
      </c>
      <c r="AI58" s="2">
        <v>3.2000000000000001E-2</v>
      </c>
      <c r="AJ58" s="2">
        <v>6.0999999999999999E-2</v>
      </c>
      <c r="AK58" s="2">
        <v>-7.0000000000000007E-2</v>
      </c>
      <c r="AL58" s="2">
        <v>3.1E-2</v>
      </c>
      <c r="AM58" s="2">
        <v>5.7000000000000002E-2</v>
      </c>
      <c r="AN58" s="2">
        <v>8.3918265792243929E-2</v>
      </c>
    </row>
    <row r="59" spans="1:40" x14ac:dyDescent="0.25">
      <c r="A59" s="1">
        <f t="shared" si="0"/>
        <v>41883</v>
      </c>
      <c r="B59" s="2">
        <v>1.7000000000000001E-2</v>
      </c>
      <c r="C59" s="2">
        <v>5.5E-2</v>
      </c>
      <c r="D59" s="2">
        <v>6.9999999999999993E-3</v>
      </c>
      <c r="E59" s="2">
        <v>6.9999999999999993E-3</v>
      </c>
      <c r="F59" s="2">
        <v>5.5999999999999994E-2</v>
      </c>
      <c r="G59" s="2">
        <v>0.28399999999999997</v>
      </c>
      <c r="H59" s="2">
        <v>0.11260214232040822</v>
      </c>
      <c r="I59" s="2">
        <v>9.4502392389108625E-2</v>
      </c>
      <c r="J59" s="2">
        <v>0.14699999999999999</v>
      </c>
      <c r="K59" s="2">
        <v>-6.9000000000000006E-2</v>
      </c>
      <c r="L59" s="2">
        <v>0.111</v>
      </c>
      <c r="M59" s="2">
        <v>9.5000000000000001E-2</v>
      </c>
      <c r="N59" s="2">
        <v>0.436</v>
      </c>
      <c r="O59" s="2">
        <v>0.21</v>
      </c>
      <c r="P59" s="2">
        <v>0.17199999999999999</v>
      </c>
      <c r="Q59" s="2">
        <v>0.188</v>
      </c>
      <c r="R59" s="2">
        <v>5.5E-2</v>
      </c>
      <c r="S59" s="2">
        <v>0.17499999999999999</v>
      </c>
      <c r="T59" s="2">
        <v>0.154</v>
      </c>
      <c r="U59" s="2">
        <v>0.153</v>
      </c>
      <c r="V59" s="2">
        <v>2.5000000000000001E-2</v>
      </c>
      <c r="W59" s="2">
        <v>9.0999999999999998E-2</v>
      </c>
      <c r="X59" s="2">
        <v>6.4000000000000001E-2</v>
      </c>
      <c r="Y59" s="41">
        <v>5.3760740067606783E-2</v>
      </c>
      <c r="Z59" s="2">
        <v>6.1344526013558998E-2</v>
      </c>
      <c r="AA59" s="2">
        <v>0.10800000000000001</v>
      </c>
      <c r="AB59" s="2">
        <v>-0.16500000000000001</v>
      </c>
      <c r="AC59" s="2">
        <v>4.8000000000000001E-2</v>
      </c>
      <c r="AD59" s="2">
        <v>6.7000000000000004E-2</v>
      </c>
      <c r="AE59" s="2">
        <v>0.04</v>
      </c>
      <c r="AF59" s="2">
        <v>3.9621552819249395E-2</v>
      </c>
      <c r="AG59" s="2">
        <v>4.4000000000000004E-2</v>
      </c>
      <c r="AH59" s="2">
        <v>3.3000000000000002E-2</v>
      </c>
      <c r="AI59" s="2">
        <v>3.1E-2</v>
      </c>
      <c r="AJ59" s="2">
        <v>6.7000000000000004E-2</v>
      </c>
      <c r="AK59" s="2">
        <v>-9.8000000000000004E-2</v>
      </c>
      <c r="AL59" s="2">
        <v>3.7000000000000005E-2</v>
      </c>
      <c r="AM59" s="2">
        <v>6.2E-2</v>
      </c>
      <c r="AN59" s="2">
        <v>7.4502308250296023E-2</v>
      </c>
    </row>
    <row r="60" spans="1:40" x14ac:dyDescent="0.25">
      <c r="A60" s="1">
        <f t="shared" si="0"/>
        <v>41974</v>
      </c>
      <c r="B60" s="2">
        <v>2.3E-2</v>
      </c>
      <c r="C60" s="2">
        <v>5.2000000000000005E-2</v>
      </c>
      <c r="D60" s="2">
        <v>-0.19800000000000001</v>
      </c>
      <c r="E60" s="2">
        <v>-0.19899999999999998</v>
      </c>
      <c r="F60" s="2">
        <v>3.7000000000000005E-2</v>
      </c>
      <c r="G60" s="2">
        <v>0.21199999999999999</v>
      </c>
      <c r="H60" s="2">
        <v>9.7158479712762702E-2</v>
      </c>
      <c r="I60" s="2">
        <v>8.4431916990689526E-2</v>
      </c>
      <c r="J60" s="2">
        <v>0.121</v>
      </c>
      <c r="K60" s="2">
        <v>-5.5999999999999994E-2</v>
      </c>
      <c r="L60" s="2">
        <v>7.0999999999999994E-2</v>
      </c>
      <c r="M60" s="2">
        <v>0.106</v>
      </c>
      <c r="N60" s="2">
        <v>0.315</v>
      </c>
      <c r="O60" s="2">
        <v>0.13200000000000001</v>
      </c>
      <c r="P60" s="2">
        <v>0.19399999999999998</v>
      </c>
      <c r="Q60" s="2">
        <v>0.17800000000000002</v>
      </c>
      <c r="R60" s="2">
        <v>5.7999999999999996E-2</v>
      </c>
      <c r="S60" s="2">
        <v>0.114</v>
      </c>
      <c r="T60" s="2">
        <v>3.7000000000000005E-2</v>
      </c>
      <c r="U60" s="2">
        <v>9.0999999999999998E-2</v>
      </c>
      <c r="V60" s="2">
        <v>0.04</v>
      </c>
      <c r="W60" s="2">
        <v>2.5000000000000001E-2</v>
      </c>
      <c r="X60" s="2">
        <v>0.13600000000000001</v>
      </c>
      <c r="Y60" s="41">
        <v>5.7347225502871302E-2</v>
      </c>
      <c r="Z60" s="2">
        <v>6.5449389462515217E-2</v>
      </c>
      <c r="AA60" s="2">
        <v>9.8000000000000004E-2</v>
      </c>
      <c r="AB60" s="2">
        <v>6.0000000000000001E-3</v>
      </c>
      <c r="AC60" s="2">
        <v>0.04</v>
      </c>
      <c r="AD60" s="2">
        <v>6.0999999999999999E-2</v>
      </c>
      <c r="AE60" s="2">
        <v>5.7000000000000002E-2</v>
      </c>
      <c r="AF60" s="2">
        <v>4.4245423468095568E-2</v>
      </c>
      <c r="AG60" s="2">
        <v>4.9000000000000002E-2</v>
      </c>
      <c r="AH60" s="2">
        <v>3.5000000000000003E-2</v>
      </c>
      <c r="AI60" s="2">
        <v>5.2999999999999999E-2</v>
      </c>
      <c r="AJ60" s="2">
        <v>1.9E-2</v>
      </c>
      <c r="AK60" s="2">
        <v>-0.05</v>
      </c>
      <c r="AL60" s="2">
        <v>9.4E-2</v>
      </c>
      <c r="AM60" s="2">
        <v>0.02</v>
      </c>
      <c r="AN60" s="2">
        <v>7.8307014805609976E-2</v>
      </c>
    </row>
    <row r="61" spans="1:40" x14ac:dyDescent="0.25">
      <c r="A61" s="1">
        <f t="shared" si="0"/>
        <v>42064</v>
      </c>
      <c r="B61" s="2">
        <v>5.7000000000000002E-2</v>
      </c>
      <c r="C61" s="2">
        <v>0.05</v>
      </c>
      <c r="D61" s="2">
        <v>-0.06</v>
      </c>
      <c r="E61" s="2">
        <v>-6.0999999999999999E-2</v>
      </c>
      <c r="F61" s="2">
        <v>0.02</v>
      </c>
      <c r="G61" s="2">
        <v>1E-3</v>
      </c>
      <c r="H61" s="2">
        <v>6.3729093563252404E-2</v>
      </c>
      <c r="I61" s="2">
        <v>5.4766931078582104E-2</v>
      </c>
      <c r="J61" s="2">
        <v>0.08</v>
      </c>
      <c r="K61" s="2">
        <v>-1.2E-2</v>
      </c>
      <c r="L61" s="2">
        <v>6.9999999999999993E-3</v>
      </c>
      <c r="M61" s="2">
        <v>0.1</v>
      </c>
      <c r="N61" s="2">
        <v>-6.8000000000000005E-2</v>
      </c>
      <c r="O61" s="2">
        <v>1.2E-2</v>
      </c>
      <c r="P61" s="2">
        <v>0.11599999999999999</v>
      </c>
      <c r="Q61" s="2">
        <v>0.152</v>
      </c>
      <c r="R61" s="2">
        <v>4.2000000000000003E-2</v>
      </c>
      <c r="S61" s="2">
        <v>9.6999999999999989E-2</v>
      </c>
      <c r="T61" s="2">
        <v>3.7000000000000005E-2</v>
      </c>
      <c r="U61" s="2">
        <v>6.5000000000000002E-2</v>
      </c>
      <c r="V61" s="2">
        <v>6.2E-2</v>
      </c>
      <c r="W61" s="2">
        <v>8.6999999999999994E-2</v>
      </c>
      <c r="X61" s="2">
        <v>5.5999999999999994E-2</v>
      </c>
      <c r="Y61" s="41">
        <v>4.9518114946610847E-2</v>
      </c>
      <c r="Z61" s="2">
        <v>5.3449607858496284E-2</v>
      </c>
      <c r="AA61" s="2">
        <v>6.7000000000000004E-2</v>
      </c>
      <c r="AB61" s="2">
        <v>-0.106</v>
      </c>
      <c r="AC61" s="2">
        <v>4.8000000000000001E-2</v>
      </c>
      <c r="AD61" s="2">
        <v>5.2999999999999999E-2</v>
      </c>
      <c r="AE61" s="2">
        <v>6.8000000000000005E-2</v>
      </c>
      <c r="AF61" s="2">
        <v>4.1912953564043898E-2</v>
      </c>
      <c r="AG61" s="2">
        <v>4.4999999999999998E-2</v>
      </c>
      <c r="AH61" s="2">
        <v>3.3000000000000002E-2</v>
      </c>
      <c r="AI61" s="2">
        <v>7.400000000000001E-2</v>
      </c>
      <c r="AJ61" s="2">
        <v>2.6000000000000002E-2</v>
      </c>
      <c r="AK61" s="2">
        <v>9.0000000000000011E-3</v>
      </c>
      <c r="AL61" s="2">
        <v>4.5999999999999999E-2</v>
      </c>
      <c r="AM61" s="2">
        <v>2.7000000000000003E-2</v>
      </c>
      <c r="AN61" s="2">
        <v>4.5089954447038449E-2</v>
      </c>
    </row>
    <row r="62" spans="1:40" x14ac:dyDescent="0.25">
      <c r="A62" s="1">
        <f t="shared" si="0"/>
        <v>42156</v>
      </c>
      <c r="B62" s="2">
        <v>6.9000000000000006E-2</v>
      </c>
      <c r="C62" s="2">
        <v>4.7E-2</v>
      </c>
      <c r="D62" s="2">
        <v>4.0000000000000001E-3</v>
      </c>
      <c r="E62" s="2">
        <v>4.0000000000000001E-3</v>
      </c>
      <c r="F62" s="2">
        <v>2E-3</v>
      </c>
      <c r="G62" s="2">
        <v>-3.4000000000000002E-2</v>
      </c>
      <c r="H62" s="2">
        <v>4.0216917886574333E-2</v>
      </c>
      <c r="I62" s="2">
        <v>2.9683270339244672E-2</v>
      </c>
      <c r="J62" s="2">
        <v>5.9000000000000004E-2</v>
      </c>
      <c r="K62" s="2">
        <v>2.7999999999999997E-2</v>
      </c>
      <c r="L62" s="2">
        <v>-2.8999999999999998E-2</v>
      </c>
      <c r="M62" s="2">
        <v>7.5999999999999998E-2</v>
      </c>
      <c r="N62" s="2">
        <v>-8.4000000000000005E-2</v>
      </c>
      <c r="O62" s="2">
        <v>-5.0999999999999997E-2</v>
      </c>
      <c r="P62" s="2">
        <v>3.4000000000000002E-2</v>
      </c>
      <c r="Q62" s="2">
        <v>0.126</v>
      </c>
      <c r="R62" s="2">
        <v>4.9000000000000002E-2</v>
      </c>
      <c r="S62" s="2">
        <v>9.3000000000000013E-2</v>
      </c>
      <c r="T62" s="2">
        <v>-5.0000000000000001E-3</v>
      </c>
      <c r="U62" s="2">
        <v>3.2000000000000001E-2</v>
      </c>
      <c r="V62" s="2">
        <v>8.199999999999999E-2</v>
      </c>
      <c r="W62" s="2">
        <v>7.4999999999999997E-2</v>
      </c>
      <c r="X62" s="2">
        <v>3.6000000000000004E-2</v>
      </c>
      <c r="Y62" s="41">
        <v>4.4998271924948874E-2</v>
      </c>
      <c r="Z62" s="2">
        <v>4.6637474313657945E-2</v>
      </c>
      <c r="AA62" s="2">
        <v>4.5999999999999999E-2</v>
      </c>
      <c r="AB62" s="2">
        <v>-5.4000000000000006E-2</v>
      </c>
      <c r="AC62" s="2">
        <v>0.04</v>
      </c>
      <c r="AD62" s="2">
        <v>4.7E-2</v>
      </c>
      <c r="AE62" s="2">
        <v>7.6999999999999999E-2</v>
      </c>
      <c r="AF62" s="2">
        <v>4.1307985589364771E-2</v>
      </c>
      <c r="AG62" s="2">
        <v>4.2999999999999997E-2</v>
      </c>
      <c r="AH62" s="2">
        <v>3.3000000000000002E-2</v>
      </c>
      <c r="AI62" s="2">
        <v>8.4000000000000005E-2</v>
      </c>
      <c r="AJ62" s="2">
        <v>0.03</v>
      </c>
      <c r="AK62" s="2">
        <v>0.20600000000000002</v>
      </c>
      <c r="AL62" s="2">
        <v>7.2000000000000008E-2</v>
      </c>
      <c r="AM62" s="2">
        <v>3.5000000000000003E-2</v>
      </c>
      <c r="AN62" s="2">
        <v>4.1925674177955674E-2</v>
      </c>
    </row>
    <row r="63" spans="1:40" x14ac:dyDescent="0.25">
      <c r="A63" s="1">
        <f t="shared" si="0"/>
        <v>42248</v>
      </c>
      <c r="B63" s="2">
        <v>7.9000000000000001E-2</v>
      </c>
      <c r="C63" s="2">
        <v>4.4999999999999998E-2</v>
      </c>
      <c r="D63" s="2">
        <v>-2.1000000000000001E-2</v>
      </c>
      <c r="E63" s="2">
        <v>-2.1000000000000001E-2</v>
      </c>
      <c r="F63" s="2">
        <v>-1.1000000000000001E-2</v>
      </c>
      <c r="G63" s="2">
        <v>-5.2999999999999999E-2</v>
      </c>
      <c r="H63" s="2">
        <v>3.0622274318363285E-2</v>
      </c>
      <c r="I63" s="2">
        <v>2.3981481814556505E-2</v>
      </c>
      <c r="J63" s="2">
        <v>4.2000000000000003E-2</v>
      </c>
      <c r="K63" s="2">
        <v>3.1E-2</v>
      </c>
      <c r="L63" s="2">
        <v>-3.5000000000000003E-2</v>
      </c>
      <c r="M63" s="2">
        <v>8.4000000000000005E-2</v>
      </c>
      <c r="N63" s="2">
        <v>-0.11199999999999999</v>
      </c>
      <c r="O63" s="2">
        <v>-7.2999999999999995E-2</v>
      </c>
      <c r="P63" s="2">
        <v>4.0999999999999995E-2</v>
      </c>
      <c r="Q63" s="2">
        <v>0.106</v>
      </c>
      <c r="R63" s="2">
        <v>4.2999999999999997E-2</v>
      </c>
      <c r="S63" s="2">
        <v>-1.9E-2</v>
      </c>
      <c r="T63" s="2">
        <v>-1E-3</v>
      </c>
      <c r="U63" s="2">
        <v>3.0000000000000001E-3</v>
      </c>
      <c r="V63" s="2">
        <v>6.7000000000000004E-2</v>
      </c>
      <c r="W63" s="2">
        <v>7.2999999999999995E-2</v>
      </c>
      <c r="X63" s="2">
        <v>4.9000000000000002E-2</v>
      </c>
      <c r="Y63" s="41">
        <v>4.1091990158475866E-2</v>
      </c>
      <c r="Z63" s="2">
        <v>4.2694743938436863E-2</v>
      </c>
      <c r="AA63" s="2">
        <v>3.1E-2</v>
      </c>
      <c r="AB63" s="2">
        <v>-2.5000000000000001E-2</v>
      </c>
      <c r="AC63" s="2">
        <v>4.2000000000000003E-2</v>
      </c>
      <c r="AD63" s="2">
        <v>4.5999999999999999E-2</v>
      </c>
      <c r="AE63" s="2">
        <v>7.4999999999999997E-2</v>
      </c>
      <c r="AF63" s="2">
        <v>3.7996902554155998E-2</v>
      </c>
      <c r="AG63" s="2">
        <v>3.7999999999999999E-2</v>
      </c>
      <c r="AH63" s="2">
        <v>3.2000000000000001E-2</v>
      </c>
      <c r="AI63" s="2">
        <v>0.09</v>
      </c>
      <c r="AJ63" s="2">
        <v>2.4E-2</v>
      </c>
      <c r="AK63" s="2">
        <v>0.19800000000000001</v>
      </c>
      <c r="AL63" s="2">
        <v>0.06</v>
      </c>
      <c r="AM63" s="2">
        <v>2.8999999999999998E-2</v>
      </c>
      <c r="AN63" s="2">
        <v>3.9477092455435292E-2</v>
      </c>
    </row>
    <row r="64" spans="1:40" x14ac:dyDescent="0.25">
      <c r="A64" s="1">
        <f t="shared" si="0"/>
        <v>42339</v>
      </c>
      <c r="B64" s="2">
        <v>7.4999999999999997E-2</v>
      </c>
      <c r="C64" s="2">
        <v>4.0999999999999995E-2</v>
      </c>
      <c r="D64" s="2">
        <v>6.5000000000000002E-2</v>
      </c>
      <c r="E64" s="2">
        <v>6.5000000000000002E-2</v>
      </c>
      <c r="F64" s="2">
        <v>2.6000000000000002E-2</v>
      </c>
      <c r="G64" s="2">
        <v>-2.7000000000000003E-2</v>
      </c>
      <c r="H64" s="2">
        <v>2.8041256898374556E-2</v>
      </c>
      <c r="I64" s="2">
        <v>2.453062524961247E-2</v>
      </c>
      <c r="J64" s="2">
        <v>3.4000000000000002E-2</v>
      </c>
      <c r="K64" s="2">
        <v>5.2000000000000005E-2</v>
      </c>
      <c r="L64" s="2">
        <v>-9.0000000000000011E-3</v>
      </c>
      <c r="M64" s="2">
        <v>6.3E-2</v>
      </c>
      <c r="N64" s="2">
        <v>-6.8000000000000005E-2</v>
      </c>
      <c r="O64" s="2">
        <v>-5.4000000000000006E-2</v>
      </c>
      <c r="P64" s="2">
        <v>-2E-3</v>
      </c>
      <c r="Q64" s="2">
        <v>9.1999999999999998E-2</v>
      </c>
      <c r="R64" s="2">
        <v>0.05</v>
      </c>
      <c r="S64" s="2">
        <v>5.0999999999999997E-2</v>
      </c>
      <c r="T64" s="2">
        <v>4.5999999999999999E-2</v>
      </c>
      <c r="U64" s="2">
        <v>1.4999999999999999E-2</v>
      </c>
      <c r="V64" s="2">
        <v>5.4000000000000006E-2</v>
      </c>
      <c r="W64" s="2">
        <v>4.8000000000000001E-2</v>
      </c>
      <c r="X64" s="2">
        <v>5.0999999999999997E-2</v>
      </c>
      <c r="Y64" s="41">
        <v>3.4063864171272495E-2</v>
      </c>
      <c r="Z64" s="2">
        <v>3.6070573333132128E-2</v>
      </c>
      <c r="AA64" s="2">
        <v>1.9E-2</v>
      </c>
      <c r="AB64" s="2">
        <v>-7.400000000000001E-2</v>
      </c>
      <c r="AC64" s="2">
        <v>5.0999999999999997E-2</v>
      </c>
      <c r="AD64" s="2">
        <v>4.8000000000000001E-2</v>
      </c>
      <c r="AE64" s="2">
        <v>6.0999999999999999E-2</v>
      </c>
      <c r="AF64" s="2">
        <v>3.1032422163554729E-2</v>
      </c>
      <c r="AG64" s="2">
        <v>0.03</v>
      </c>
      <c r="AH64" s="2">
        <v>0.03</v>
      </c>
      <c r="AI64" s="2">
        <v>6.0999999999999999E-2</v>
      </c>
      <c r="AJ64" s="2">
        <v>0.04</v>
      </c>
      <c r="AK64" s="2">
        <v>-8.5999999999999993E-2</v>
      </c>
      <c r="AL64" s="2">
        <v>-2E-3</v>
      </c>
      <c r="AM64" s="2">
        <v>3.6000000000000004E-2</v>
      </c>
      <c r="AN64" s="2">
        <v>3.1149144051871192E-2</v>
      </c>
    </row>
    <row r="65" spans="1:40" x14ac:dyDescent="0.25">
      <c r="A65" s="1">
        <f t="shared" si="0"/>
        <v>42430</v>
      </c>
      <c r="B65" s="2">
        <v>5.5999999999999994E-2</v>
      </c>
      <c r="C65" s="2">
        <v>3.9E-2</v>
      </c>
      <c r="D65" s="2">
        <v>0.04</v>
      </c>
      <c r="E65" s="2">
        <v>0.04</v>
      </c>
      <c r="F65" s="2">
        <v>2.2000000000000002E-2</v>
      </c>
      <c r="G65" s="2">
        <v>1.6E-2</v>
      </c>
      <c r="H65" s="2">
        <v>4.4773893404140841E-2</v>
      </c>
      <c r="I65" s="2">
        <v>4.4036433522157692E-2</v>
      </c>
      <c r="J65" s="2">
        <v>4.5999999999999999E-2</v>
      </c>
      <c r="K65" s="2">
        <v>1.6E-2</v>
      </c>
      <c r="L65" s="2">
        <v>3.7999999999999999E-2</v>
      </c>
      <c r="M65" s="2">
        <v>4.5999999999999999E-2</v>
      </c>
      <c r="N65" s="2">
        <v>-0.11800000000000001</v>
      </c>
      <c r="O65" s="2">
        <v>6.9999999999999993E-3</v>
      </c>
      <c r="P65" s="2">
        <v>2.8999999999999998E-2</v>
      </c>
      <c r="Q65" s="2">
        <v>8.1000000000000003E-2</v>
      </c>
      <c r="R65" s="2">
        <v>9.6999999999999989E-2</v>
      </c>
      <c r="S65" s="2">
        <v>-3.0000000000000001E-3</v>
      </c>
      <c r="T65" s="2">
        <v>0.12</v>
      </c>
      <c r="U65" s="2">
        <v>4.2999999999999997E-2</v>
      </c>
      <c r="V65" s="2">
        <v>8.199999999999999E-2</v>
      </c>
      <c r="W65" s="2">
        <v>5.5999999999999994E-2</v>
      </c>
      <c r="X65" s="2">
        <v>4.2999999999999997E-2</v>
      </c>
      <c r="Y65" s="41">
        <v>2.4132124272571387E-2</v>
      </c>
      <c r="Z65" s="2">
        <v>2.8170667866479038E-2</v>
      </c>
      <c r="AA65" s="2">
        <v>1.7000000000000001E-2</v>
      </c>
      <c r="AB65" s="2">
        <v>4.2999999999999997E-2</v>
      </c>
      <c r="AC65" s="2">
        <v>2.7999999999999997E-2</v>
      </c>
      <c r="AD65" s="2">
        <v>5.2000000000000005E-2</v>
      </c>
      <c r="AE65" s="2">
        <v>0.04</v>
      </c>
      <c r="AF65" s="2">
        <v>1.5769915956459046E-2</v>
      </c>
      <c r="AG65" s="2">
        <v>9.0000000000000011E-3</v>
      </c>
      <c r="AH65" s="2">
        <v>2.2000000000000002E-2</v>
      </c>
      <c r="AI65" s="2">
        <v>0.06</v>
      </c>
      <c r="AJ65" s="2">
        <v>3.5000000000000003E-2</v>
      </c>
      <c r="AK65" s="2">
        <v>5.2999999999999999E-2</v>
      </c>
      <c r="AL65" s="2">
        <v>3.2000000000000001E-2</v>
      </c>
      <c r="AM65" s="2">
        <v>3.5000000000000003E-2</v>
      </c>
      <c r="AN65" s="2">
        <v>3.4298095988732236E-2</v>
      </c>
    </row>
    <row r="66" spans="1:40" x14ac:dyDescent="0.25">
      <c r="A66" s="1">
        <f t="shared" si="0"/>
        <v>42522</v>
      </c>
      <c r="B66" s="2">
        <v>4.8000000000000001E-2</v>
      </c>
      <c r="C66" s="2">
        <v>3.5000000000000003E-2</v>
      </c>
      <c r="D66" s="2">
        <v>5.0999999999999997E-2</v>
      </c>
      <c r="E66" s="2">
        <v>5.0999999999999997E-2</v>
      </c>
      <c r="F66" s="2">
        <v>1.1000000000000001E-2</v>
      </c>
      <c r="G66" s="2">
        <v>0.03</v>
      </c>
      <c r="H66" s="2">
        <v>4.2825236036295955E-2</v>
      </c>
      <c r="I66" s="2">
        <v>3.901072596638766E-2</v>
      </c>
      <c r="J66" s="2">
        <v>4.9000000000000002E-2</v>
      </c>
      <c r="K66" s="2">
        <v>1.3000000000000001E-2</v>
      </c>
      <c r="L66" s="2">
        <v>7.400000000000001E-2</v>
      </c>
      <c r="M66" s="2">
        <v>3.7000000000000005E-2</v>
      </c>
      <c r="N66" s="2">
        <v>0.04</v>
      </c>
      <c r="O66" s="2">
        <v>5.5999999999999994E-2</v>
      </c>
      <c r="P66" s="2">
        <v>2.8999999999999998E-2</v>
      </c>
      <c r="Q66" s="2">
        <v>6.7000000000000004E-2</v>
      </c>
      <c r="R66" s="2">
        <v>6.9000000000000006E-2</v>
      </c>
      <c r="S66" s="2">
        <v>-3.5000000000000003E-2</v>
      </c>
      <c r="T66" s="2">
        <v>7.0000000000000007E-2</v>
      </c>
      <c r="U66" s="2">
        <v>1.4999999999999999E-2</v>
      </c>
      <c r="V66" s="2">
        <v>1.9E-2</v>
      </c>
      <c r="W66" s="2">
        <v>4.5999999999999999E-2</v>
      </c>
      <c r="X66" s="2">
        <v>0.10099999999999999</v>
      </c>
      <c r="Y66" s="41">
        <v>1.898414069194776E-2</v>
      </c>
      <c r="Z66" s="2">
        <v>2.6752746899463276E-2</v>
      </c>
      <c r="AA66" s="2">
        <v>1.1000000000000001E-2</v>
      </c>
      <c r="AB66" s="2">
        <v>3.3000000000000002E-2</v>
      </c>
      <c r="AC66" s="2">
        <v>3.5000000000000003E-2</v>
      </c>
      <c r="AD66" s="2">
        <v>5.2000000000000005E-2</v>
      </c>
      <c r="AE66" s="2">
        <v>0.03</v>
      </c>
      <c r="AF66" s="2">
        <v>2.2733948597797315E-4</v>
      </c>
      <c r="AG66" s="2">
        <v>-1.1000000000000001E-2</v>
      </c>
      <c r="AH66" s="2">
        <v>1.2E-2</v>
      </c>
      <c r="AI66" s="2">
        <v>4.9000000000000002E-2</v>
      </c>
      <c r="AJ66" s="2">
        <v>3.4000000000000002E-2</v>
      </c>
      <c r="AK66" s="2">
        <v>-0.21</v>
      </c>
      <c r="AL66" s="2">
        <v>-3.0000000000000001E-3</v>
      </c>
      <c r="AM66" s="2">
        <v>2.7000000000000003E-2</v>
      </c>
      <c r="AN66" s="2">
        <v>2.3204819124024612E-2</v>
      </c>
    </row>
    <row r="67" spans="1:40" x14ac:dyDescent="0.25">
      <c r="A67" s="1">
        <f t="shared" si="0"/>
        <v>42614</v>
      </c>
      <c r="B67" s="2">
        <v>2.1000000000000001E-2</v>
      </c>
      <c r="C67" s="2">
        <v>3.1E-2</v>
      </c>
      <c r="D67" s="2">
        <v>0.126</v>
      </c>
      <c r="E67" s="2">
        <v>0.127</v>
      </c>
      <c r="F67" s="2">
        <v>0.02</v>
      </c>
      <c r="G67" s="2">
        <v>8.3000000000000004E-2</v>
      </c>
      <c r="H67" s="2">
        <v>5.0779805405881673E-2</v>
      </c>
      <c r="I67" s="2">
        <v>4.7428814597513913E-2</v>
      </c>
      <c r="J67" s="2">
        <v>5.5999999999999994E-2</v>
      </c>
      <c r="K67" s="2">
        <v>2E-3</v>
      </c>
      <c r="L67" s="2">
        <v>7.8E-2</v>
      </c>
      <c r="M67" s="2">
        <v>3.7000000000000005E-2</v>
      </c>
      <c r="N67" s="2">
        <v>0.151</v>
      </c>
      <c r="O67" s="2">
        <v>0.09</v>
      </c>
      <c r="P67" s="2">
        <v>2.1000000000000001E-2</v>
      </c>
      <c r="Q67" s="2">
        <v>5.7000000000000002E-2</v>
      </c>
      <c r="R67" s="2">
        <v>0.106</v>
      </c>
      <c r="S67" s="2">
        <v>9.6999999999999989E-2</v>
      </c>
      <c r="T67" s="2">
        <v>8.4000000000000005E-2</v>
      </c>
      <c r="U67" s="2">
        <v>0.02</v>
      </c>
      <c r="V67" s="2">
        <v>0.05</v>
      </c>
      <c r="W67" s="2">
        <v>2.7999999999999997E-2</v>
      </c>
      <c r="X67" s="2">
        <v>5.7999999999999996E-2</v>
      </c>
      <c r="Y67" s="41">
        <v>3.3206806334567629E-2</v>
      </c>
      <c r="Z67" s="2">
        <v>2.9006146566741275E-2</v>
      </c>
      <c r="AA67" s="2">
        <v>0.02</v>
      </c>
      <c r="AB67" s="2">
        <v>1.1000000000000001E-2</v>
      </c>
      <c r="AC67" s="2">
        <v>3.9E-2</v>
      </c>
      <c r="AD67" s="2">
        <v>4.4999999999999998E-2</v>
      </c>
      <c r="AE67" s="2">
        <v>2.3E-2</v>
      </c>
      <c r="AF67" s="2">
        <v>4.1044753547779589E-2</v>
      </c>
      <c r="AG67" s="2">
        <v>4.2999999999999997E-2</v>
      </c>
      <c r="AH67" s="2">
        <v>3.7999999999999999E-2</v>
      </c>
      <c r="AI67" s="2">
        <v>3.7999999999999999E-2</v>
      </c>
      <c r="AJ67" s="2">
        <v>5.0999999999999997E-2</v>
      </c>
      <c r="AK67" s="2">
        <v>-0.20499999999999999</v>
      </c>
      <c r="AL67" s="2">
        <v>1.3000000000000001E-2</v>
      </c>
      <c r="AM67" s="2">
        <v>4.4000000000000004E-2</v>
      </c>
      <c r="AN67" s="2">
        <v>3.3139653044981676E-2</v>
      </c>
    </row>
    <row r="68" spans="1:40" x14ac:dyDescent="0.25">
      <c r="A68" s="1">
        <f t="shared" si="0"/>
        <v>42705</v>
      </c>
      <c r="B68" s="2">
        <v>-5.7000000000000002E-2</v>
      </c>
      <c r="C68" s="2">
        <v>2.7000000000000003E-2</v>
      </c>
      <c r="D68" s="2">
        <v>0.26899999999999996</v>
      </c>
      <c r="E68" s="2">
        <v>0.27200000000000002</v>
      </c>
      <c r="F68" s="2">
        <v>1.8000000000000002E-2</v>
      </c>
      <c r="G68" s="2">
        <v>5.5999999999999994E-2</v>
      </c>
      <c r="H68" s="2">
        <v>5.7540741445562205E-2</v>
      </c>
      <c r="I68" s="2">
        <v>5.4070109945717704E-2</v>
      </c>
      <c r="J68" s="2">
        <v>6.3E-2</v>
      </c>
      <c r="K68" s="2">
        <v>2.2000000000000002E-2</v>
      </c>
      <c r="L68" s="2">
        <v>6.5000000000000002E-2</v>
      </c>
      <c r="M68" s="2">
        <v>5.5999999999999994E-2</v>
      </c>
      <c r="N68" s="2">
        <v>6.9000000000000006E-2</v>
      </c>
      <c r="O68" s="2">
        <v>0.11</v>
      </c>
      <c r="P68" s="2">
        <v>1.8000000000000002E-2</v>
      </c>
      <c r="Q68" s="2">
        <v>4.5999999999999999E-2</v>
      </c>
      <c r="R68" s="2">
        <v>0.1</v>
      </c>
      <c r="S68" s="2">
        <v>8.6999999999999994E-2</v>
      </c>
      <c r="T68" s="2">
        <v>8.8000000000000009E-2</v>
      </c>
      <c r="U68" s="2">
        <v>3.7000000000000005E-2</v>
      </c>
      <c r="V68" s="2">
        <v>3.5000000000000003E-2</v>
      </c>
      <c r="W68" s="2">
        <v>7.6999999999999999E-2</v>
      </c>
      <c r="X68" s="2">
        <v>6.7000000000000004E-2</v>
      </c>
      <c r="Y68" s="41">
        <v>2.4887334694142949E-2</v>
      </c>
      <c r="Z68" s="2">
        <v>2.9682868538739582E-2</v>
      </c>
      <c r="AA68" s="2">
        <v>2.2000000000000002E-2</v>
      </c>
      <c r="AB68" s="2">
        <v>5.2000000000000005E-2</v>
      </c>
      <c r="AC68" s="2">
        <v>3.7000000000000005E-2</v>
      </c>
      <c r="AD68" s="2">
        <v>3.2000000000000001E-2</v>
      </c>
      <c r="AE68" s="2">
        <v>2.6000000000000002E-2</v>
      </c>
      <c r="AF68" s="2">
        <v>1.8201046674088728E-2</v>
      </c>
      <c r="AG68" s="2">
        <v>1.6E-2</v>
      </c>
      <c r="AH68" s="2">
        <v>0.02</v>
      </c>
      <c r="AI68" s="2">
        <v>4.0999999999999995E-2</v>
      </c>
      <c r="AJ68" s="2">
        <v>5.7000000000000002E-2</v>
      </c>
      <c r="AK68" s="2">
        <v>-0.218</v>
      </c>
      <c r="AL68" s="2">
        <v>2.1000000000000001E-2</v>
      </c>
      <c r="AM68" s="2">
        <v>4.9000000000000002E-2</v>
      </c>
      <c r="AN68" s="2">
        <v>2.1763767137780832E-2</v>
      </c>
    </row>
    <row r="69" spans="1:40" x14ac:dyDescent="0.25">
      <c r="A69" s="1">
        <f t="shared" si="0"/>
        <v>42795</v>
      </c>
      <c r="B69" s="2">
        <v>-3.9E-2</v>
      </c>
      <c r="C69" s="2">
        <v>2.3E-2</v>
      </c>
      <c r="D69" s="2">
        <v>8.900000000000001E-2</v>
      </c>
      <c r="E69" s="2">
        <v>0.09</v>
      </c>
      <c r="F69" s="2">
        <v>-0.01</v>
      </c>
      <c r="G69" s="2">
        <v>0.13100000000000001</v>
      </c>
      <c r="H69" s="2">
        <v>6.0123420353994872E-2</v>
      </c>
      <c r="I69" s="2">
        <v>4.8167895846101372E-2</v>
      </c>
      <c r="J69" s="2">
        <v>7.9000000000000001E-2</v>
      </c>
      <c r="K69" s="2">
        <v>5.4000000000000006E-2</v>
      </c>
      <c r="L69" s="2">
        <v>0.05</v>
      </c>
      <c r="M69" s="2">
        <v>8.6999999999999994E-2</v>
      </c>
      <c r="N69" s="2">
        <v>0.28899999999999998</v>
      </c>
      <c r="O69" s="2">
        <v>0.11</v>
      </c>
      <c r="P69" s="2">
        <v>1E-3</v>
      </c>
      <c r="Q69" s="2">
        <v>3.4000000000000002E-2</v>
      </c>
      <c r="R69" s="2">
        <v>8.6999999999999994E-2</v>
      </c>
      <c r="S69" s="2">
        <v>0.114</v>
      </c>
      <c r="T69" s="2">
        <v>-5.0999999999999997E-2</v>
      </c>
      <c r="U69" s="2">
        <v>-0.01</v>
      </c>
      <c r="V69" s="2">
        <v>2.2000000000000002E-2</v>
      </c>
      <c r="W69" s="2">
        <v>6.4000000000000001E-2</v>
      </c>
      <c r="X69" s="2">
        <v>8.900000000000001E-2</v>
      </c>
      <c r="Y69" s="41">
        <v>2.4806067666431453E-2</v>
      </c>
      <c r="Z69" s="2">
        <v>3.2179165827840306E-2</v>
      </c>
      <c r="AA69" s="2">
        <v>2.3E-2</v>
      </c>
      <c r="AB69" s="2">
        <v>-5.2999999999999999E-2</v>
      </c>
      <c r="AC69" s="2">
        <v>5.0999999999999997E-2</v>
      </c>
      <c r="AD69" s="2">
        <v>1.4999999999999999E-2</v>
      </c>
      <c r="AE69" s="2">
        <v>3.2000000000000001E-2</v>
      </c>
      <c r="AF69" s="2">
        <v>9.0388308156916786E-3</v>
      </c>
      <c r="AG69" s="2">
        <v>6.9999999999999993E-3</v>
      </c>
      <c r="AH69" s="2">
        <v>8.0000000000000002E-3</v>
      </c>
      <c r="AI69" s="2">
        <v>4.2999999999999997E-2</v>
      </c>
      <c r="AJ69" s="2">
        <v>4.2999999999999997E-2</v>
      </c>
      <c r="AK69" s="2">
        <v>-0.183</v>
      </c>
      <c r="AL69" s="2">
        <v>2.1000000000000001E-2</v>
      </c>
      <c r="AM69" s="2">
        <v>3.7000000000000005E-2</v>
      </c>
      <c r="AN69" s="2">
        <v>3.1643730569056228E-2</v>
      </c>
    </row>
    <row r="70" spans="1:40" x14ac:dyDescent="0.25">
      <c r="A70" s="1">
        <f t="shared" si="0"/>
        <v>42887</v>
      </c>
      <c r="B70" s="2">
        <v>-4.9000000000000002E-2</v>
      </c>
      <c r="C70" s="2">
        <v>0.02</v>
      </c>
      <c r="D70" s="2">
        <v>-4.4999999999999998E-2</v>
      </c>
      <c r="E70" s="2">
        <v>-4.5999999999999999E-2</v>
      </c>
      <c r="F70" s="2">
        <v>-3.0000000000000001E-3</v>
      </c>
      <c r="G70" s="2">
        <v>9.8000000000000004E-2</v>
      </c>
      <c r="H70" s="2">
        <v>6.3754140232608503E-2</v>
      </c>
      <c r="I70" s="2">
        <v>5.0341795445593585E-2</v>
      </c>
      <c r="J70" s="2">
        <v>8.4000000000000005E-2</v>
      </c>
      <c r="K70" s="2">
        <v>6.5000000000000002E-2</v>
      </c>
      <c r="L70" s="2">
        <v>2.2000000000000002E-2</v>
      </c>
      <c r="M70" s="2">
        <v>0.10300000000000001</v>
      </c>
      <c r="N70" s="2">
        <v>0.16300000000000001</v>
      </c>
      <c r="O70" s="2">
        <v>0.10300000000000001</v>
      </c>
      <c r="P70" s="2">
        <v>1.9E-2</v>
      </c>
      <c r="Q70" s="2">
        <v>2.1000000000000001E-2</v>
      </c>
      <c r="R70" s="2">
        <v>0.06</v>
      </c>
      <c r="S70" s="2">
        <v>0.153</v>
      </c>
      <c r="T70" s="2">
        <v>-2.1000000000000001E-2</v>
      </c>
      <c r="U70" s="2">
        <v>2.1000000000000001E-2</v>
      </c>
      <c r="V70" s="2">
        <v>-4.0000000000000001E-3</v>
      </c>
      <c r="W70" s="2">
        <v>8.199999999999999E-2</v>
      </c>
      <c r="X70" s="2">
        <v>0.05</v>
      </c>
      <c r="Y70" s="41">
        <v>2.3547484993128087E-2</v>
      </c>
      <c r="Z70" s="2">
        <v>3.2560776267997804E-2</v>
      </c>
      <c r="AA70" s="2">
        <v>0.03</v>
      </c>
      <c r="AB70" s="2">
        <v>-6.6000000000000003E-2</v>
      </c>
      <c r="AC70" s="2">
        <v>4.8000000000000001E-2</v>
      </c>
      <c r="AD70" s="2">
        <v>4.0000000000000001E-3</v>
      </c>
      <c r="AE70" s="2">
        <v>3.4000000000000002E-2</v>
      </c>
      <c r="AF70" s="2">
        <v>1.0676405711538273E-3</v>
      </c>
      <c r="AG70" s="2">
        <v>-3.0000000000000001E-3</v>
      </c>
      <c r="AH70" s="2">
        <v>0</v>
      </c>
      <c r="AI70" s="2">
        <v>5.2000000000000005E-2</v>
      </c>
      <c r="AJ70" s="2">
        <v>1.6E-2</v>
      </c>
      <c r="AK70" s="2">
        <v>-0.16</v>
      </c>
      <c r="AL70" s="2">
        <v>6.0000000000000001E-3</v>
      </c>
      <c r="AM70" s="2">
        <v>1.2E-2</v>
      </c>
      <c r="AN70" s="2">
        <v>1.894099071992339E-2</v>
      </c>
    </row>
    <row r="71" spans="1:40" x14ac:dyDescent="0.25">
      <c r="A71" s="1">
        <f t="shared" ref="A71:A90" si="1">EDATE(A70,3)</f>
        <v>42979</v>
      </c>
      <c r="B71" s="2">
        <v>-4.4000000000000004E-2</v>
      </c>
      <c r="C71" s="2">
        <v>0.02</v>
      </c>
      <c r="D71" s="2">
        <v>-0.128</v>
      </c>
      <c r="E71" s="2">
        <v>-0.129</v>
      </c>
      <c r="F71" s="2">
        <v>5.0000000000000001E-3</v>
      </c>
      <c r="G71" s="2">
        <v>8.199999999999999E-2</v>
      </c>
      <c r="H71" s="2">
        <v>6.3402405309700205E-2</v>
      </c>
      <c r="I71" s="2">
        <v>5.4384300219968651E-2</v>
      </c>
      <c r="J71" s="2">
        <v>7.6999999999999999E-2</v>
      </c>
      <c r="K71" s="2">
        <v>8.5999999999999993E-2</v>
      </c>
      <c r="L71" s="2">
        <v>1.8000000000000002E-2</v>
      </c>
      <c r="M71" s="2">
        <v>0.09</v>
      </c>
      <c r="N71" s="2">
        <v>0.11900000000000001</v>
      </c>
      <c r="O71" s="2">
        <v>0.09</v>
      </c>
      <c r="P71" s="2">
        <v>1.4999999999999999E-2</v>
      </c>
      <c r="Q71" s="2">
        <v>9.0000000000000011E-3</v>
      </c>
      <c r="R71" s="2">
        <v>5.5E-2</v>
      </c>
      <c r="S71" s="2">
        <v>0.16800000000000001</v>
      </c>
      <c r="T71" s="2">
        <v>3.5000000000000003E-2</v>
      </c>
      <c r="U71" s="2">
        <v>5.4000000000000006E-2</v>
      </c>
      <c r="V71" s="2">
        <v>1.4999999999999999E-2</v>
      </c>
      <c r="W71" s="2">
        <v>0.10199999999999999</v>
      </c>
      <c r="X71" s="2">
        <v>9.1999999999999998E-2</v>
      </c>
      <c r="Y71" s="41">
        <v>1.9505102628890603E-2</v>
      </c>
      <c r="Z71" s="2">
        <v>2.7167714303024892E-2</v>
      </c>
      <c r="AA71" s="2">
        <v>2.7999999999999997E-2</v>
      </c>
      <c r="AB71" s="2">
        <v>4.0000000000000001E-3</v>
      </c>
      <c r="AC71" s="2">
        <v>2.8999999999999998E-2</v>
      </c>
      <c r="AD71" s="2">
        <v>2E-3</v>
      </c>
      <c r="AE71" s="2">
        <v>3.6000000000000004E-2</v>
      </c>
      <c r="AF71" s="2">
        <v>3.9451471250304682E-3</v>
      </c>
      <c r="AG71" s="2">
        <v>1E-3</v>
      </c>
      <c r="AH71" s="2">
        <v>2E-3</v>
      </c>
      <c r="AI71" s="2">
        <v>5.7999999999999996E-2</v>
      </c>
      <c r="AJ71" s="2">
        <v>1.1000000000000001E-2</v>
      </c>
      <c r="AK71" s="2">
        <v>3.7000000000000005E-2</v>
      </c>
      <c r="AL71" s="2">
        <v>5.0000000000000001E-3</v>
      </c>
      <c r="AM71" s="2">
        <v>1.1000000000000001E-2</v>
      </c>
      <c r="AN71" s="2">
        <v>2.8367905893580181E-2</v>
      </c>
    </row>
    <row r="72" spans="1:40" x14ac:dyDescent="0.25">
      <c r="A72" s="1">
        <f t="shared" si="1"/>
        <v>43070</v>
      </c>
      <c r="B72" s="2">
        <v>-2.7999999999999997E-2</v>
      </c>
      <c r="C72" s="2">
        <v>2.5000000000000001E-2</v>
      </c>
      <c r="D72" s="2">
        <v>-0.16</v>
      </c>
      <c r="E72" s="2">
        <v>-0.16200000000000001</v>
      </c>
      <c r="F72" s="2">
        <v>0.02</v>
      </c>
      <c r="G72" s="2">
        <v>9.6000000000000002E-2</v>
      </c>
      <c r="H72" s="2">
        <v>5.0353530053589557E-2</v>
      </c>
      <c r="I72" s="2">
        <v>3.8656064227940767E-2</v>
      </c>
      <c r="J72" s="2">
        <v>6.8000000000000005E-2</v>
      </c>
      <c r="K72" s="2">
        <v>4.2999999999999997E-2</v>
      </c>
      <c r="L72" s="2">
        <v>0</v>
      </c>
      <c r="M72" s="2">
        <v>3.3000000000000002E-2</v>
      </c>
      <c r="N72" s="2">
        <v>0.18100000000000002</v>
      </c>
      <c r="O72" s="2">
        <v>6.9000000000000006E-2</v>
      </c>
      <c r="P72" s="2">
        <v>2.7000000000000003E-2</v>
      </c>
      <c r="Q72" s="2">
        <v>-5.0000000000000001E-3</v>
      </c>
      <c r="R72" s="2">
        <v>3.4000000000000002E-2</v>
      </c>
      <c r="S72" s="2">
        <v>0.223</v>
      </c>
      <c r="T72" s="2">
        <v>7.2000000000000008E-2</v>
      </c>
      <c r="U72" s="2">
        <v>7.5999999999999998E-2</v>
      </c>
      <c r="V72" s="2">
        <v>0.02</v>
      </c>
      <c r="W72" s="2">
        <v>8.8000000000000009E-2</v>
      </c>
      <c r="X72" s="2">
        <v>9.8000000000000004E-2</v>
      </c>
      <c r="Y72" s="41">
        <v>1.8520991321810731E-2</v>
      </c>
      <c r="Z72" s="2">
        <v>3.1484885346152902E-2</v>
      </c>
      <c r="AA72" s="2">
        <v>4.2999999999999997E-2</v>
      </c>
      <c r="AB72" s="2">
        <v>-0.02</v>
      </c>
      <c r="AC72" s="2">
        <v>2.6000000000000002E-2</v>
      </c>
      <c r="AD72" s="2">
        <v>1.2E-2</v>
      </c>
      <c r="AE72" s="2">
        <v>3.7999999999999999E-2</v>
      </c>
      <c r="AF72" s="2">
        <v>-3.2864831141143913E-4</v>
      </c>
      <c r="AG72" s="2">
        <v>-5.0000000000000001E-3</v>
      </c>
      <c r="AH72" s="2">
        <v>2E-3</v>
      </c>
      <c r="AI72" s="2">
        <v>6.2E-2</v>
      </c>
      <c r="AJ72" s="2">
        <v>6.0000000000000001E-3</v>
      </c>
      <c r="AK72" s="2">
        <v>-0.17600000000000002</v>
      </c>
      <c r="AL72" s="2">
        <v>1.4999999999999999E-2</v>
      </c>
      <c r="AM72" s="2">
        <v>3.0000000000000001E-3</v>
      </c>
      <c r="AN72" s="2">
        <v>2.7251835346947084E-2</v>
      </c>
    </row>
    <row r="73" spans="1:40" x14ac:dyDescent="0.25">
      <c r="A73" s="1">
        <f t="shared" si="1"/>
        <v>43160</v>
      </c>
      <c r="B73" s="2">
        <v>0.01</v>
      </c>
      <c r="C73" s="2">
        <v>3.6000000000000004E-2</v>
      </c>
      <c r="D73" s="2">
        <v>-8.1000000000000003E-2</v>
      </c>
      <c r="E73" s="2">
        <v>-8.3000000000000004E-2</v>
      </c>
      <c r="F73" s="2">
        <v>0.14499999999999999</v>
      </c>
      <c r="G73" s="2">
        <v>6.9000000000000006E-2</v>
      </c>
      <c r="H73" s="2">
        <v>1.7550151934972558E-2</v>
      </c>
      <c r="I73" s="2">
        <v>7.9090924807394547E-3</v>
      </c>
      <c r="J73" s="2">
        <v>3.2000000000000001E-2</v>
      </c>
      <c r="K73" s="2">
        <v>6.9999999999999993E-3</v>
      </c>
      <c r="L73" s="2">
        <v>8.0000000000000002E-3</v>
      </c>
      <c r="M73" s="2">
        <v>-2.5000000000000001E-2</v>
      </c>
      <c r="N73" s="2">
        <v>0.183</v>
      </c>
      <c r="O73" s="2">
        <v>4.4999999999999998E-2</v>
      </c>
      <c r="P73" s="2">
        <v>0.01</v>
      </c>
      <c r="Q73" s="2">
        <v>-2.5000000000000001E-2</v>
      </c>
      <c r="R73" s="2">
        <v>-1.1000000000000001E-2</v>
      </c>
      <c r="S73" s="2">
        <v>0.17100000000000001</v>
      </c>
      <c r="T73" s="2">
        <v>1.8000000000000002E-2</v>
      </c>
      <c r="U73" s="2">
        <v>6.4000000000000001E-2</v>
      </c>
      <c r="V73" s="2">
        <v>-6.0000000000000001E-3</v>
      </c>
      <c r="W73" s="2">
        <v>7.5999999999999998E-2</v>
      </c>
      <c r="X73" s="2">
        <v>9.6999999999999989E-2</v>
      </c>
      <c r="Y73" s="41">
        <v>3.2329264100142696E-2</v>
      </c>
      <c r="Z73" s="2">
        <v>3.5805219334201333E-2</v>
      </c>
      <c r="AA73" s="2">
        <v>3.3000000000000002E-2</v>
      </c>
      <c r="AB73" s="2">
        <v>6.9999999999999993E-3</v>
      </c>
      <c r="AC73" s="2">
        <v>0.04</v>
      </c>
      <c r="AD73" s="2">
        <v>3.3000000000000002E-2</v>
      </c>
      <c r="AE73" s="2">
        <v>3.9E-2</v>
      </c>
      <c r="AF73" s="2">
        <v>2.4466781686540928E-2</v>
      </c>
      <c r="AG73" s="2">
        <v>2.4E-2</v>
      </c>
      <c r="AH73" s="2">
        <v>2.2000000000000002E-2</v>
      </c>
      <c r="AI73" s="2">
        <v>4.8000000000000001E-2</v>
      </c>
      <c r="AJ73" s="2">
        <v>2.7999999999999997E-2</v>
      </c>
      <c r="AK73" s="2">
        <v>-0.156</v>
      </c>
      <c r="AL73" s="2">
        <v>-2.1000000000000001E-2</v>
      </c>
      <c r="AM73" s="2">
        <v>2.2000000000000002E-2</v>
      </c>
      <c r="AN73" s="2">
        <v>3.5698759980083761E-2</v>
      </c>
    </row>
    <row r="74" spans="1:40" x14ac:dyDescent="0.25">
      <c r="A74" s="1">
        <f t="shared" si="1"/>
        <v>43252</v>
      </c>
      <c r="B74" s="2">
        <v>3.4000000000000002E-2</v>
      </c>
      <c r="C74" s="2">
        <v>3.9E-2</v>
      </c>
      <c r="D74" s="2">
        <v>-0.17100000000000001</v>
      </c>
      <c r="E74" s="2">
        <v>-0.17499999999999999</v>
      </c>
      <c r="F74" s="2">
        <v>0.193</v>
      </c>
      <c r="G74" s="2">
        <v>0.03</v>
      </c>
      <c r="H74" s="2">
        <v>9.5712272949963761E-3</v>
      </c>
      <c r="I74" s="2">
        <v>1.6688640142112909E-3</v>
      </c>
      <c r="J74" s="2">
        <v>2.1000000000000001E-2</v>
      </c>
      <c r="K74" s="2">
        <v>-3.0000000000000001E-3</v>
      </c>
      <c r="L74" s="2">
        <v>2.2000000000000002E-2</v>
      </c>
      <c r="M74" s="2">
        <v>-5.5E-2</v>
      </c>
      <c r="N74" s="2">
        <v>5.7999999999999996E-2</v>
      </c>
      <c r="O74" s="2">
        <v>2.8999999999999998E-2</v>
      </c>
      <c r="P74" s="2">
        <v>-2.2000000000000002E-2</v>
      </c>
      <c r="Q74" s="2">
        <v>-1.7000000000000001E-2</v>
      </c>
      <c r="R74" s="2">
        <v>0.01</v>
      </c>
      <c r="S74" s="2">
        <v>0.05</v>
      </c>
      <c r="T74" s="2">
        <v>2.7000000000000003E-2</v>
      </c>
      <c r="U74" s="2">
        <v>6.5000000000000002E-2</v>
      </c>
      <c r="V74" s="2">
        <v>3.7999999999999999E-2</v>
      </c>
      <c r="W74" s="2">
        <v>3.9E-2</v>
      </c>
      <c r="X74" s="2">
        <v>6.5000000000000002E-2</v>
      </c>
      <c r="Y74" s="41">
        <v>3.9027651407348873E-2</v>
      </c>
      <c r="Z74" s="2">
        <v>4.2861948333254851E-2</v>
      </c>
      <c r="AA74" s="2">
        <v>3.4000000000000002E-2</v>
      </c>
      <c r="AB74" s="2">
        <v>0.107</v>
      </c>
      <c r="AC74" s="2">
        <v>4.5999999999999999E-2</v>
      </c>
      <c r="AD74" s="2">
        <v>4.4999999999999998E-2</v>
      </c>
      <c r="AE74" s="2">
        <v>3.7000000000000005E-2</v>
      </c>
      <c r="AF74" s="2">
        <v>2.8915464556106052E-2</v>
      </c>
      <c r="AG74" s="2">
        <v>2.7999999999999997E-2</v>
      </c>
      <c r="AH74" s="2">
        <v>2.7999999999999997E-2</v>
      </c>
      <c r="AI74" s="2">
        <v>4.4000000000000004E-2</v>
      </c>
      <c r="AJ74" s="2">
        <v>1.3999999999999999E-2</v>
      </c>
      <c r="AK74" s="2">
        <v>-0.249</v>
      </c>
      <c r="AL74" s="2">
        <v>1.2E-2</v>
      </c>
      <c r="AM74" s="2">
        <v>0.01</v>
      </c>
      <c r="AN74" s="2">
        <v>3.3802426331599245E-2</v>
      </c>
    </row>
    <row r="75" spans="1:40" x14ac:dyDescent="0.25">
      <c r="A75" s="1">
        <f t="shared" si="1"/>
        <v>43344</v>
      </c>
      <c r="B75" s="2">
        <v>4.4999999999999998E-2</v>
      </c>
      <c r="C75" s="2">
        <v>0.04</v>
      </c>
      <c r="D75" s="2">
        <v>-0.113</v>
      </c>
      <c r="E75" s="2">
        <v>-0.11699999999999999</v>
      </c>
      <c r="F75" s="2">
        <v>0.2</v>
      </c>
      <c r="G75" s="2">
        <v>-1.7000000000000001E-2</v>
      </c>
      <c r="H75" s="2">
        <v>2.5324809864155418E-2</v>
      </c>
      <c r="I75" s="2">
        <v>1.0875485143065022E-2</v>
      </c>
      <c r="J75" s="2">
        <v>4.5999999999999999E-2</v>
      </c>
      <c r="K75" s="2">
        <v>6.0000000000000001E-3</v>
      </c>
      <c r="L75" s="2">
        <v>1.1000000000000001E-2</v>
      </c>
      <c r="M75" s="2">
        <v>-5.5E-2</v>
      </c>
      <c r="N75" s="2">
        <v>-8.1000000000000003E-2</v>
      </c>
      <c r="O75" s="2">
        <v>0.02</v>
      </c>
      <c r="P75" s="2">
        <v>2.4E-2</v>
      </c>
      <c r="Q75" s="2">
        <v>8.0000000000000002E-3</v>
      </c>
      <c r="R75" s="2">
        <v>3.0000000000000001E-3</v>
      </c>
      <c r="S75" s="2">
        <v>2.2000000000000002E-2</v>
      </c>
      <c r="T75" s="2">
        <v>9.0999999999999998E-2</v>
      </c>
      <c r="U75" s="2">
        <v>6.6000000000000003E-2</v>
      </c>
      <c r="V75" s="2">
        <v>9.0000000000000011E-3</v>
      </c>
      <c r="W75" s="2">
        <v>1.7000000000000001E-2</v>
      </c>
      <c r="X75" s="2">
        <v>8.4000000000000005E-2</v>
      </c>
      <c r="Y75" s="41">
        <v>3.3453330184393115E-2</v>
      </c>
      <c r="Z75" s="2">
        <v>3.3161826737591271E-2</v>
      </c>
      <c r="AA75" s="2">
        <v>2.7999999999999997E-2</v>
      </c>
      <c r="AB75" s="2">
        <v>0.111</v>
      </c>
      <c r="AC75" s="2">
        <v>2.7000000000000003E-2</v>
      </c>
      <c r="AD75" s="2">
        <v>5.2000000000000005E-2</v>
      </c>
      <c r="AE75" s="2">
        <v>3.2000000000000001E-2</v>
      </c>
      <c r="AF75" s="2">
        <v>3.4093895999385948E-2</v>
      </c>
      <c r="AG75" s="2">
        <v>3.4000000000000002E-2</v>
      </c>
      <c r="AH75" s="2">
        <v>3.3000000000000002E-2</v>
      </c>
      <c r="AI75" s="2">
        <v>4.2999999999999997E-2</v>
      </c>
      <c r="AJ75" s="2">
        <v>1.9E-2</v>
      </c>
      <c r="AK75" s="2">
        <v>-0.115</v>
      </c>
      <c r="AL75" s="2">
        <v>6.9999999999999993E-3</v>
      </c>
      <c r="AM75" s="2">
        <v>1.4999999999999999E-2</v>
      </c>
      <c r="AN75" s="2">
        <v>3.1345177267248614E-2</v>
      </c>
    </row>
    <row r="76" spans="1:40" x14ac:dyDescent="0.25">
      <c r="A76" s="1">
        <f t="shared" si="1"/>
        <v>43435</v>
      </c>
      <c r="B76" s="2">
        <v>4.4999999999999998E-2</v>
      </c>
      <c r="C76" s="2">
        <v>3.7000000000000005E-2</v>
      </c>
      <c r="D76" s="2">
        <v>-0.122</v>
      </c>
      <c r="E76" s="2">
        <v>-0.125</v>
      </c>
      <c r="F76" s="2">
        <v>0.16399999999999998</v>
      </c>
      <c r="G76" s="2">
        <v>2.1000000000000001E-2</v>
      </c>
      <c r="H76" s="2">
        <v>2.5631795571011695E-2</v>
      </c>
      <c r="I76" s="2">
        <v>2.2638065458990386E-2</v>
      </c>
      <c r="J76" s="2">
        <v>0.03</v>
      </c>
      <c r="K76" s="2">
        <v>3.3000000000000002E-2</v>
      </c>
      <c r="L76" s="2">
        <v>1.9E-2</v>
      </c>
      <c r="M76" s="2">
        <v>-1.1000000000000001E-2</v>
      </c>
      <c r="N76" s="2">
        <v>1.2E-2</v>
      </c>
      <c r="O76" s="2">
        <v>1.8000000000000002E-2</v>
      </c>
      <c r="P76" s="2">
        <v>2.6000000000000002E-2</v>
      </c>
      <c r="Q76" s="2">
        <v>5.5999999999999994E-2</v>
      </c>
      <c r="R76" s="2">
        <v>5.2000000000000005E-2</v>
      </c>
      <c r="S76" s="2">
        <v>6.0000000000000001E-3</v>
      </c>
      <c r="T76" s="2">
        <v>-7.2999999999999995E-2</v>
      </c>
      <c r="U76" s="2">
        <v>0.01</v>
      </c>
      <c r="V76" s="2">
        <v>3.4000000000000002E-2</v>
      </c>
      <c r="W76" s="2">
        <v>1.8000000000000002E-2</v>
      </c>
      <c r="X76" s="2">
        <v>6.7000000000000004E-2</v>
      </c>
      <c r="Y76" s="41">
        <v>2.5262183299120222E-2</v>
      </c>
      <c r="Z76" s="2">
        <v>2.4558448070822969E-2</v>
      </c>
      <c r="AA76" s="2">
        <v>1.3999999999999999E-2</v>
      </c>
      <c r="AB76" s="2">
        <v>3.3000000000000002E-2</v>
      </c>
      <c r="AC76" s="2">
        <v>3.1E-2</v>
      </c>
      <c r="AD76" s="2">
        <v>5.2999999999999999E-2</v>
      </c>
      <c r="AE76" s="2">
        <v>2.3E-2</v>
      </c>
      <c r="AF76" s="2">
        <v>2.6414500847036004E-2</v>
      </c>
      <c r="AG76" s="2">
        <v>2.5000000000000001E-2</v>
      </c>
      <c r="AH76" s="2">
        <v>2.7000000000000003E-2</v>
      </c>
      <c r="AI76" s="2">
        <v>4.4000000000000004E-2</v>
      </c>
      <c r="AJ76" s="2">
        <v>1.3999999999999999E-2</v>
      </c>
      <c r="AK76" s="2">
        <v>-0.115</v>
      </c>
      <c r="AL76" s="2">
        <v>-4.0000000000000001E-3</v>
      </c>
      <c r="AM76" s="2">
        <v>1.1000000000000001E-2</v>
      </c>
      <c r="AN76" s="2">
        <v>3.0615517186338037E-2</v>
      </c>
    </row>
    <row r="77" spans="1:40" x14ac:dyDescent="0.25">
      <c r="A77" s="1">
        <f t="shared" si="1"/>
        <v>43525</v>
      </c>
      <c r="B77" s="2">
        <v>0.03</v>
      </c>
      <c r="C77" s="2">
        <v>3.5000000000000003E-2</v>
      </c>
      <c r="D77" s="2">
        <v>-7.6999999999999999E-2</v>
      </c>
      <c r="E77" s="2">
        <v>-7.8E-2</v>
      </c>
      <c r="F77" s="2">
        <v>4.7E-2</v>
      </c>
      <c r="G77" s="2">
        <v>-3.5000000000000003E-2</v>
      </c>
      <c r="H77" s="2">
        <v>4.5952556877435935E-2</v>
      </c>
      <c r="I77" s="2">
        <v>5.7845710733726019E-2</v>
      </c>
      <c r="J77" s="2">
        <v>2.8999999999999998E-2</v>
      </c>
      <c r="K77" s="2">
        <v>9.6999999999999989E-2</v>
      </c>
      <c r="L77" s="2">
        <v>4.4000000000000004E-2</v>
      </c>
      <c r="M77" s="2">
        <v>3.2000000000000001E-2</v>
      </c>
      <c r="N77" s="2">
        <v>-0.19399999999999998</v>
      </c>
      <c r="O77" s="2">
        <v>2.8999999999999998E-2</v>
      </c>
      <c r="P77" s="2">
        <v>3.6000000000000004E-2</v>
      </c>
      <c r="Q77" s="2">
        <v>0.126</v>
      </c>
      <c r="R77" s="2">
        <v>9.4E-2</v>
      </c>
      <c r="S77" s="2">
        <v>0.13200000000000001</v>
      </c>
      <c r="T77" s="2">
        <v>5.9000000000000004E-2</v>
      </c>
      <c r="U77" s="2">
        <v>4.0999999999999995E-2</v>
      </c>
      <c r="V77" s="2">
        <v>1.2E-2</v>
      </c>
      <c r="W77" s="2">
        <v>3.7999999999999999E-2</v>
      </c>
      <c r="X77" s="2">
        <v>4.9000000000000002E-2</v>
      </c>
      <c r="Y77" s="41">
        <v>2.9721080549597323E-2</v>
      </c>
      <c r="Z77" s="2">
        <v>3.5174501963985749E-2</v>
      </c>
      <c r="AA77" s="2">
        <v>2.1000000000000001E-2</v>
      </c>
      <c r="AB77" s="2">
        <v>0.151</v>
      </c>
      <c r="AC77" s="2">
        <v>0.04</v>
      </c>
      <c r="AD77" s="2">
        <v>5.0999999999999997E-2</v>
      </c>
      <c r="AE77" s="2">
        <v>1.9E-2</v>
      </c>
      <c r="AF77" s="2">
        <v>1.6114668864595894E-2</v>
      </c>
      <c r="AG77" s="2">
        <v>1.3000000000000001E-2</v>
      </c>
      <c r="AH77" s="2">
        <v>1.8000000000000002E-2</v>
      </c>
      <c r="AI77" s="2">
        <v>3.9E-2</v>
      </c>
      <c r="AJ77" s="2">
        <v>1.4999999999999999E-2</v>
      </c>
      <c r="AK77" s="2">
        <v>5.5999999999999994E-2</v>
      </c>
      <c r="AL77" s="2">
        <v>0.03</v>
      </c>
      <c r="AM77" s="2">
        <v>1.6E-2</v>
      </c>
      <c r="AN77" s="2">
        <v>2.997952978634788E-2</v>
      </c>
    </row>
    <row r="78" spans="1:40" x14ac:dyDescent="0.25">
      <c r="A78" s="1">
        <f t="shared" si="1"/>
        <v>43617</v>
      </c>
      <c r="B78" s="2">
        <v>2.2000000000000002E-2</v>
      </c>
      <c r="C78" s="2">
        <v>3.2000000000000001E-2</v>
      </c>
      <c r="D78" s="2">
        <v>-0.14800000000000002</v>
      </c>
      <c r="E78" s="2">
        <v>-0.15</v>
      </c>
      <c r="F78" s="2">
        <v>-1.2E-2</v>
      </c>
      <c r="G78" s="2">
        <v>2.5000000000000001E-2</v>
      </c>
      <c r="H78" s="2">
        <v>4.9991860618875839E-2</v>
      </c>
      <c r="I78" s="2">
        <v>6.8393771268091097E-2</v>
      </c>
      <c r="J78" s="2">
        <v>2.4E-2</v>
      </c>
      <c r="K78" s="2">
        <v>9.6999999999999989E-2</v>
      </c>
      <c r="L78" s="2">
        <v>3.9E-2</v>
      </c>
      <c r="M78" s="2">
        <v>0.06</v>
      </c>
      <c r="N78" s="2">
        <v>-8.0000000000000002E-3</v>
      </c>
      <c r="O78" s="2">
        <v>3.3000000000000002E-2</v>
      </c>
      <c r="P78" s="2">
        <v>4.2999999999999997E-2</v>
      </c>
      <c r="Q78" s="2">
        <v>0.14000000000000001</v>
      </c>
      <c r="R78" s="2">
        <v>0.124</v>
      </c>
      <c r="S78" s="2">
        <v>0.25</v>
      </c>
      <c r="T78" s="2">
        <v>4.8000000000000001E-2</v>
      </c>
      <c r="U78" s="2">
        <v>4.4999999999999998E-2</v>
      </c>
      <c r="V78" s="2">
        <v>3.5000000000000003E-2</v>
      </c>
      <c r="W78" s="2">
        <v>5.4000000000000006E-2</v>
      </c>
      <c r="X78" s="2">
        <v>4.7E-2</v>
      </c>
      <c r="Y78" s="41">
        <v>2.0843788615827918E-2</v>
      </c>
      <c r="Z78" s="2">
        <v>2.1523807278539309E-2</v>
      </c>
      <c r="AA78" s="2">
        <v>2.2000000000000002E-2</v>
      </c>
      <c r="AB78" s="2">
        <v>-3.4000000000000002E-2</v>
      </c>
      <c r="AC78" s="2">
        <v>2.6000000000000002E-2</v>
      </c>
      <c r="AD78" s="2">
        <v>4.5999999999999999E-2</v>
      </c>
      <c r="AE78" s="2">
        <v>1.4999999999999999E-2</v>
      </c>
      <c r="AF78" s="2">
        <v>1.8886132895762797E-2</v>
      </c>
      <c r="AG78" s="2">
        <v>1.7000000000000001E-2</v>
      </c>
      <c r="AH78" s="2">
        <v>1.9E-2</v>
      </c>
      <c r="AI78" s="2">
        <v>3.6000000000000004E-2</v>
      </c>
      <c r="AJ78" s="2">
        <v>0</v>
      </c>
      <c r="AK78" s="2">
        <v>0.187</v>
      </c>
      <c r="AL78" s="2">
        <v>0.01</v>
      </c>
      <c r="AM78" s="2">
        <v>2E-3</v>
      </c>
      <c r="AN78" s="2">
        <v>2.6292477040881002E-2</v>
      </c>
    </row>
    <row r="79" spans="1:40" x14ac:dyDescent="0.25">
      <c r="A79" s="1">
        <f t="shared" si="1"/>
        <v>43709</v>
      </c>
      <c r="B79" s="2">
        <v>2.2000000000000002E-2</v>
      </c>
      <c r="C79" s="2">
        <v>2.7999999999999997E-2</v>
      </c>
      <c r="D79" s="2">
        <v>-7.6999999999999999E-2</v>
      </c>
      <c r="E79" s="2">
        <v>-7.6999999999999999E-2</v>
      </c>
      <c r="F79" s="2">
        <v>-3.7999999999999999E-2</v>
      </c>
      <c r="G79" s="2">
        <v>9.0999999999999998E-2</v>
      </c>
      <c r="H79" s="2">
        <v>2.6714391447788532E-2</v>
      </c>
      <c r="I79" s="2">
        <v>4.8912184034199502E-2</v>
      </c>
      <c r="J79" s="2">
        <v>-4.0000000000000001E-3</v>
      </c>
      <c r="K79" s="2">
        <v>3.1E-2</v>
      </c>
      <c r="L79" s="2">
        <v>4.5999999999999999E-2</v>
      </c>
      <c r="M79" s="2">
        <v>5.2000000000000005E-2</v>
      </c>
      <c r="N79" s="2">
        <v>0.20300000000000001</v>
      </c>
      <c r="O79" s="2">
        <v>3.4000000000000002E-2</v>
      </c>
      <c r="P79" s="2">
        <v>2.1000000000000001E-2</v>
      </c>
      <c r="Q79" s="2">
        <v>9.8000000000000004E-2</v>
      </c>
      <c r="R79" s="2">
        <v>0.10199999999999999</v>
      </c>
      <c r="S79" s="2">
        <v>0.30099999999999999</v>
      </c>
      <c r="T79" s="2">
        <v>7.5999999999999998E-2</v>
      </c>
      <c r="U79" s="2">
        <v>5.7999999999999996E-2</v>
      </c>
      <c r="V79" s="2">
        <v>3.9E-2</v>
      </c>
      <c r="W79" s="2">
        <v>5.4000000000000006E-2</v>
      </c>
      <c r="X79" s="2">
        <v>4.9000000000000002E-2</v>
      </c>
      <c r="Y79" s="41">
        <v>2.0096851879743305E-2</v>
      </c>
      <c r="Z79" s="2">
        <v>2.5391962135361767E-2</v>
      </c>
      <c r="AA79" s="2">
        <v>0.02</v>
      </c>
      <c r="AB79" s="2">
        <v>4.9000000000000002E-2</v>
      </c>
      <c r="AC79" s="2">
        <v>0.03</v>
      </c>
      <c r="AD79" s="2">
        <v>3.3000000000000002E-2</v>
      </c>
      <c r="AE79" s="2">
        <v>1.8000000000000002E-2</v>
      </c>
      <c r="AF79" s="2">
        <v>7.6664843390432669E-3</v>
      </c>
      <c r="AG79" s="2">
        <v>3.0000000000000001E-3</v>
      </c>
      <c r="AH79" s="2">
        <v>1.2E-2</v>
      </c>
      <c r="AI79" s="2">
        <v>3.2000000000000001E-2</v>
      </c>
      <c r="AJ79" s="2">
        <v>1.3999999999999999E-2</v>
      </c>
      <c r="AK79" s="2">
        <v>2.6000000000000002E-2</v>
      </c>
      <c r="AL79" s="2">
        <v>-2.4E-2</v>
      </c>
      <c r="AM79" s="2">
        <v>1.2E-2</v>
      </c>
      <c r="AN79" s="2">
        <v>2.675827422024879E-2</v>
      </c>
    </row>
    <row r="80" spans="1:40" x14ac:dyDescent="0.25">
      <c r="A80" s="1">
        <f t="shared" si="1"/>
        <v>43800</v>
      </c>
      <c r="B80" s="2">
        <v>3.1E-2</v>
      </c>
      <c r="C80" s="2">
        <v>2.8999999999999998E-2</v>
      </c>
      <c r="D80" s="2">
        <v>-0.04</v>
      </c>
      <c r="E80" s="2">
        <v>-0.04</v>
      </c>
      <c r="F80" s="2">
        <v>-3.7999999999999999E-2</v>
      </c>
      <c r="G80" s="2">
        <v>9.0000000000000011E-3</v>
      </c>
      <c r="H80" s="2">
        <v>-1.6493475705788851E-3</v>
      </c>
      <c r="I80" s="2">
        <v>-1.3758292573901376E-2</v>
      </c>
      <c r="J80" s="2">
        <v>1.6E-2</v>
      </c>
      <c r="K80" s="2">
        <v>-5.4000000000000006E-2</v>
      </c>
      <c r="L80" s="2">
        <v>5.2000000000000005E-2</v>
      </c>
      <c r="M80" s="2">
        <v>1.2E-2</v>
      </c>
      <c r="N80" s="2">
        <v>0.03</v>
      </c>
      <c r="O80" s="2">
        <v>2.8999999999999998E-2</v>
      </c>
      <c r="P80" s="2">
        <v>-6.4000000000000001E-2</v>
      </c>
      <c r="Q80" s="2">
        <v>5.0000000000000001E-3</v>
      </c>
      <c r="R80" s="2">
        <v>0.03</v>
      </c>
      <c r="S80" s="2">
        <v>0.17800000000000002</v>
      </c>
      <c r="T80" s="2">
        <v>-0.122</v>
      </c>
      <c r="U80" s="2">
        <v>-5.2000000000000005E-2</v>
      </c>
      <c r="V80" s="2">
        <v>2.8999999999999998E-2</v>
      </c>
      <c r="W80" s="2">
        <v>3.1E-2</v>
      </c>
      <c r="X80" s="2">
        <v>4.2000000000000003E-2</v>
      </c>
      <c r="Y80" s="41">
        <v>1.6336364485263211E-3</v>
      </c>
      <c r="Z80" s="2">
        <v>-1.0124749408440992E-2</v>
      </c>
      <c r="AA80" s="2">
        <v>1.8000000000000002E-2</v>
      </c>
      <c r="AB80" s="2">
        <v>-0.436</v>
      </c>
      <c r="AC80" s="2">
        <v>-5.0000000000000001E-3</v>
      </c>
      <c r="AD80" s="2">
        <v>0.02</v>
      </c>
      <c r="AE80" s="2">
        <v>2.5000000000000001E-2</v>
      </c>
      <c r="AF80" s="2">
        <v>2.2911008902675167E-2</v>
      </c>
      <c r="AG80" s="2">
        <v>2.2000000000000002E-2</v>
      </c>
      <c r="AH80" s="2">
        <v>2.4E-2</v>
      </c>
      <c r="AI80" s="2">
        <v>2.7000000000000003E-2</v>
      </c>
      <c r="AJ80" s="2">
        <v>5.0000000000000001E-3</v>
      </c>
      <c r="AK80" s="2">
        <v>0.43799999999999994</v>
      </c>
      <c r="AL80" s="2">
        <v>-6.6000000000000003E-2</v>
      </c>
      <c r="AM80" s="2">
        <v>6.9999999999999993E-3</v>
      </c>
      <c r="AN80" s="2">
        <v>1.4799000007895025E-2</v>
      </c>
    </row>
    <row r="81" spans="1:40" s="14" customFormat="1" x14ac:dyDescent="0.25">
      <c r="A81" s="40">
        <f t="shared" si="1"/>
        <v>43891</v>
      </c>
      <c r="B81" s="41">
        <v>2.7999999999999997E-2</v>
      </c>
      <c r="C81" s="41">
        <v>2.5000000000000001E-2</v>
      </c>
      <c r="D81" s="41">
        <v>-0.26600000000000001</v>
      </c>
      <c r="E81" s="41">
        <v>-0.26800000000000002</v>
      </c>
      <c r="F81" s="41">
        <v>-9.0000000000000011E-3</v>
      </c>
      <c r="G81" s="41">
        <v>0.06</v>
      </c>
      <c r="H81" s="41">
        <v>-7.0951458322743188E-2</v>
      </c>
      <c r="I81" s="41">
        <v>-0.12849669870259084</v>
      </c>
      <c r="J81" s="41">
        <v>1.4999999999999999E-2</v>
      </c>
      <c r="K81" s="41">
        <v>-0.214</v>
      </c>
      <c r="L81" s="41">
        <v>-6.5000000000000002E-2</v>
      </c>
      <c r="M81" s="41">
        <v>-8.3000000000000004E-2</v>
      </c>
      <c r="N81" s="41">
        <v>0.39299999999999996</v>
      </c>
      <c r="O81" s="41">
        <v>1.3999999999999999E-2</v>
      </c>
      <c r="P81" s="41">
        <v>-0.14300000000000002</v>
      </c>
      <c r="Q81" s="41">
        <v>-0.13300000000000001</v>
      </c>
      <c r="R81" s="41">
        <v>-0.19500000000000001</v>
      </c>
      <c r="S81" s="41">
        <v>-8.1000000000000003E-2</v>
      </c>
      <c r="T81" s="41">
        <v>-0.193</v>
      </c>
      <c r="U81" s="41">
        <v>-7.0000000000000007E-2</v>
      </c>
      <c r="V81" s="41">
        <v>-0.16300000000000001</v>
      </c>
      <c r="W81" s="41">
        <v>-6.9999999999999993E-3</v>
      </c>
      <c r="X81" s="41">
        <v>3.6000000000000004E-2</v>
      </c>
      <c r="Y81" s="41">
        <v>-1.7988395019840064E-2</v>
      </c>
      <c r="Z81" s="41">
        <v>-3.4076196116227142E-2</v>
      </c>
      <c r="AA81" s="41">
        <v>-1.3999999999999999E-2</v>
      </c>
      <c r="AB81" s="41">
        <v>-0.35899999999999999</v>
      </c>
      <c r="AC81" s="41">
        <v>-0.05</v>
      </c>
      <c r="AD81" s="41">
        <v>-2E-3</v>
      </c>
      <c r="AE81" s="41">
        <v>3.9E-2</v>
      </c>
      <c r="AF81" s="41">
        <v>2.6817160023848707E-3</v>
      </c>
      <c r="AG81" s="41">
        <v>-3.0000000000000001E-3</v>
      </c>
      <c r="AH81" s="41">
        <v>1.4999999999999999E-2</v>
      </c>
      <c r="AI81" s="41">
        <v>-1.8000000000000002E-2</v>
      </c>
      <c r="AJ81" s="41">
        <v>-3.7000000000000005E-2</v>
      </c>
      <c r="AK81" s="41">
        <v>-7.400000000000001E-2</v>
      </c>
      <c r="AL81" s="41">
        <v>-9.6999999999999989E-2</v>
      </c>
      <c r="AM81" s="41">
        <v>-4.0999999999999995E-2</v>
      </c>
      <c r="AN81" s="41">
        <v>-1.1233673851588688E-2</v>
      </c>
    </row>
    <row r="82" spans="1:40" x14ac:dyDescent="0.25">
      <c r="A82" s="1">
        <f t="shared" si="1"/>
        <v>43983</v>
      </c>
      <c r="B82" s="2">
        <v>1.9E-2</v>
      </c>
      <c r="C82" s="2">
        <v>1.8000000000000002E-2</v>
      </c>
      <c r="D82" s="2">
        <v>-0.217</v>
      </c>
      <c r="E82" s="2">
        <v>-0.22</v>
      </c>
      <c r="F82" s="2">
        <v>6.0000000000000001E-3</v>
      </c>
      <c r="G82" s="2">
        <v>8.1000000000000003E-2</v>
      </c>
      <c r="H82" s="2">
        <v>-0.11117047367286326</v>
      </c>
      <c r="I82" s="2">
        <v>-0.18967723900446587</v>
      </c>
      <c r="J82" s="2">
        <v>6.0000000000000001E-3</v>
      </c>
      <c r="K82" s="2">
        <v>-0.28399999999999997</v>
      </c>
      <c r="L82" s="2">
        <v>-9.3000000000000013E-2</v>
      </c>
      <c r="M82" s="2">
        <v>-0.14800000000000002</v>
      </c>
      <c r="N82" s="2">
        <v>0.52600000000000002</v>
      </c>
      <c r="O82" s="2">
        <v>1.1000000000000001E-2</v>
      </c>
      <c r="P82" s="2">
        <v>-0.21299999999999999</v>
      </c>
      <c r="Q82" s="2">
        <v>-0.184</v>
      </c>
      <c r="R82" s="2">
        <v>-0.253</v>
      </c>
      <c r="S82" s="2">
        <v>-0.11900000000000001</v>
      </c>
      <c r="T82" s="2">
        <v>-0.441</v>
      </c>
      <c r="U82" s="2">
        <v>-0.182</v>
      </c>
      <c r="V82" s="2">
        <v>-0.18899999999999997</v>
      </c>
      <c r="W82" s="2">
        <v>-0.08</v>
      </c>
      <c r="X82" s="2">
        <v>-0.20199999999999999</v>
      </c>
      <c r="Y82" s="41">
        <v>-0.10240743031829858</v>
      </c>
      <c r="Z82" s="2">
        <v>-0.12784344461850472</v>
      </c>
      <c r="AA82" s="2">
        <v>-0.1</v>
      </c>
      <c r="AB82" s="2">
        <v>-0.89</v>
      </c>
      <c r="AC82" s="2">
        <v>-0.16200000000000001</v>
      </c>
      <c r="AD82" s="2">
        <v>-1.9E-2</v>
      </c>
      <c r="AE82" s="2">
        <v>4.4000000000000004E-2</v>
      </c>
      <c r="AF82" s="2">
        <v>-2.7789461995762599E-2</v>
      </c>
      <c r="AG82" s="2">
        <v>-3.5000000000000003E-2</v>
      </c>
      <c r="AH82" s="2">
        <v>2E-3</v>
      </c>
      <c r="AI82" s="2">
        <v>-0.115</v>
      </c>
      <c r="AJ82" s="2">
        <v>-9.8000000000000004E-2</v>
      </c>
      <c r="AK82" s="2">
        <v>-0.14199999999999999</v>
      </c>
      <c r="AL82" s="2">
        <v>-0.17</v>
      </c>
      <c r="AM82" s="2">
        <v>-0.10199999999999999</v>
      </c>
      <c r="AN82" s="2">
        <v>-8.7260930963028005E-2</v>
      </c>
    </row>
    <row r="83" spans="1:40" x14ac:dyDescent="0.25">
      <c r="A83" s="1">
        <f t="shared" si="1"/>
        <v>44075</v>
      </c>
      <c r="B83" s="2">
        <v>1.3000000000000001E-2</v>
      </c>
      <c r="C83" s="2">
        <v>0.01</v>
      </c>
      <c r="D83" s="2">
        <v>-0.26500000000000001</v>
      </c>
      <c r="E83" s="2">
        <v>-0.26899999999999996</v>
      </c>
      <c r="F83" s="2">
        <v>6.9999999999999993E-3</v>
      </c>
      <c r="G83" s="2">
        <v>0</v>
      </c>
      <c r="H83" s="2">
        <v>-9.5366852334452412E-2</v>
      </c>
      <c r="I83" s="2">
        <v>-0.17601664445626342</v>
      </c>
      <c r="J83" s="2">
        <v>1.6E-2</v>
      </c>
      <c r="K83" s="2">
        <v>-0.27899999999999997</v>
      </c>
      <c r="L83" s="2">
        <v>-8.3000000000000004E-2</v>
      </c>
      <c r="M83" s="2">
        <v>-0.13300000000000001</v>
      </c>
      <c r="N83" s="2">
        <v>0.23199999999999998</v>
      </c>
      <c r="O83" s="2">
        <v>1.7000000000000001E-2</v>
      </c>
      <c r="P83" s="2">
        <v>-0.14899999999999999</v>
      </c>
      <c r="Q83" s="2">
        <v>-0.16300000000000001</v>
      </c>
      <c r="R83" s="2">
        <v>-0.27500000000000002</v>
      </c>
      <c r="S83" s="2">
        <v>-0.16899999999999998</v>
      </c>
      <c r="T83" s="2">
        <v>-0.36299999999999999</v>
      </c>
      <c r="U83" s="2">
        <v>-0.161</v>
      </c>
      <c r="V83" s="2">
        <v>-0.23300000000000001</v>
      </c>
      <c r="W83" s="2">
        <v>2.6000000000000002E-2</v>
      </c>
      <c r="X83" s="2">
        <v>5.0999999999999997E-2</v>
      </c>
      <c r="Y83" s="41">
        <v>-3.0095216300561334E-2</v>
      </c>
      <c r="Z83" s="2">
        <v>-5.2137849922349599E-2</v>
      </c>
      <c r="AA83" s="2">
        <v>-2.6000000000000002E-2</v>
      </c>
      <c r="AB83" s="2">
        <v>-0.71799999999999997</v>
      </c>
      <c r="AC83" s="2">
        <v>-5.2999999999999999E-2</v>
      </c>
      <c r="AD83" s="2">
        <v>-2.7000000000000003E-2</v>
      </c>
      <c r="AE83" s="2">
        <v>4.4000000000000004E-2</v>
      </c>
      <c r="AF83" s="2">
        <v>2.0767253021932719E-2</v>
      </c>
      <c r="AG83" s="2">
        <v>1.8000000000000002E-2</v>
      </c>
      <c r="AH83" s="2">
        <v>3.3000000000000002E-2</v>
      </c>
      <c r="AI83" s="2">
        <v>-2.3E-2</v>
      </c>
      <c r="AJ83" s="2">
        <v>-0.04</v>
      </c>
      <c r="AK83" s="2">
        <v>-0.29499999999999998</v>
      </c>
      <c r="AL83" s="2">
        <v>-0.10800000000000001</v>
      </c>
      <c r="AM83" s="2">
        <v>-4.7E-2</v>
      </c>
      <c r="AN83" s="2">
        <v>-1.966146079867459E-2</v>
      </c>
    </row>
    <row r="84" spans="1:40" x14ac:dyDescent="0.25">
      <c r="A84" s="1">
        <f t="shared" si="1"/>
        <v>44166</v>
      </c>
      <c r="B84" s="2">
        <v>5.2000000000000005E-2</v>
      </c>
      <c r="C84" s="2">
        <v>-5.0000000000000001E-3</v>
      </c>
      <c r="D84" s="2">
        <v>-9.6000000000000002E-2</v>
      </c>
      <c r="E84" s="2">
        <v>-9.6999999999999989E-2</v>
      </c>
      <c r="F84" s="2">
        <v>-1.3999999999999999E-2</v>
      </c>
      <c r="G84" s="2">
        <v>0</v>
      </c>
      <c r="H84" s="2">
        <v>-5.7223079561108392E-2</v>
      </c>
      <c r="I84" s="2">
        <v>-0.10599540172888255</v>
      </c>
      <c r="J84" s="2">
        <v>1.1000000000000001E-2</v>
      </c>
      <c r="K84" s="2">
        <v>-0.21899999999999997</v>
      </c>
      <c r="L84" s="2">
        <v>-6.8000000000000005E-2</v>
      </c>
      <c r="M84" s="2">
        <v>-0.126</v>
      </c>
      <c r="N84" s="2">
        <v>0.14199999999999999</v>
      </c>
      <c r="O84" s="2">
        <v>3.2000000000000001E-2</v>
      </c>
      <c r="P84" s="2">
        <v>-0.10099999999999999</v>
      </c>
      <c r="Q84" s="2">
        <v>-6.5000000000000002E-2</v>
      </c>
      <c r="R84" s="2">
        <v>-0.184</v>
      </c>
      <c r="S84" s="2">
        <v>-6.8000000000000005E-2</v>
      </c>
      <c r="T84" s="2">
        <v>0.01</v>
      </c>
      <c r="U84" s="2">
        <v>3.3000000000000002E-2</v>
      </c>
      <c r="V84" s="2">
        <v>-0.17300000000000001</v>
      </c>
      <c r="W84" s="2">
        <v>1.7000000000000001E-2</v>
      </c>
      <c r="X84" s="2">
        <v>5.9000000000000004E-2</v>
      </c>
      <c r="Y84" s="41">
        <v>-1.7368355952375847E-2</v>
      </c>
      <c r="Z84" s="2">
        <v>-2.792630726908607E-2</v>
      </c>
      <c r="AA84" s="2">
        <v>-2.2000000000000002E-2</v>
      </c>
      <c r="AB84" s="2">
        <v>-0.39399999999999996</v>
      </c>
      <c r="AC84" s="2">
        <v>-2.6000000000000002E-2</v>
      </c>
      <c r="AD84" s="2">
        <v>-0.03</v>
      </c>
      <c r="AE84" s="2">
        <v>3.5000000000000003E-2</v>
      </c>
      <c r="AF84" s="2">
        <v>3.7172832214733997E-2</v>
      </c>
      <c r="AG84" s="2">
        <v>3.3000000000000002E-2</v>
      </c>
      <c r="AH84" s="2">
        <v>4.4999999999999998E-2</v>
      </c>
      <c r="AI84" s="2">
        <v>3.2000000000000001E-2</v>
      </c>
      <c r="AJ84" s="2">
        <v>-1E-3</v>
      </c>
      <c r="AK84" s="2">
        <v>-0.435</v>
      </c>
      <c r="AL84" s="2">
        <v>-7.0000000000000007E-2</v>
      </c>
      <c r="AM84" s="2">
        <v>-1.2E-2</v>
      </c>
      <c r="AN84" s="2">
        <v>1.5699145893277588E-3</v>
      </c>
    </row>
    <row r="85" spans="1:40" x14ac:dyDescent="0.25">
      <c r="A85" s="1">
        <f t="shared" si="1"/>
        <v>44256</v>
      </c>
      <c r="B85" s="2">
        <v>-1.4999999999999999E-2</v>
      </c>
      <c r="C85" s="2">
        <v>-2.3E-2</v>
      </c>
      <c r="D85" s="2">
        <v>0.14699999999999999</v>
      </c>
      <c r="E85" s="2">
        <v>0.151</v>
      </c>
      <c r="F85" s="2">
        <v>-4.4999999999999998E-2</v>
      </c>
      <c r="G85" s="2">
        <v>6.0999999999999999E-2</v>
      </c>
      <c r="H85" s="2">
        <v>2.1211812384326567E-2</v>
      </c>
      <c r="I85" s="2">
        <v>4.6788283874252823E-3</v>
      </c>
      <c r="J85" s="2">
        <v>4.0999999999999995E-2</v>
      </c>
      <c r="K85" s="2">
        <v>-3.4000000000000002E-2</v>
      </c>
      <c r="L85" s="2">
        <v>4.0999999999999995E-2</v>
      </c>
      <c r="M85" s="2">
        <v>-5.9000000000000004E-2</v>
      </c>
      <c r="N85" s="2">
        <v>8.1000000000000003E-2</v>
      </c>
      <c r="O85" s="2">
        <v>5.4000000000000006E-2</v>
      </c>
      <c r="P85" s="2">
        <v>-1.7000000000000001E-2</v>
      </c>
      <c r="Q85" s="2">
        <v>0.13500000000000001</v>
      </c>
      <c r="R85" s="2">
        <v>1.8000000000000002E-2</v>
      </c>
      <c r="S85" s="2">
        <v>0.09</v>
      </c>
      <c r="T85" s="2">
        <v>-2.5000000000000001E-2</v>
      </c>
      <c r="U85" s="2">
        <v>2.5000000000000001E-2</v>
      </c>
      <c r="V85" s="2">
        <v>-5.9000000000000004E-2</v>
      </c>
      <c r="W85" s="2">
        <v>4.2999999999999997E-2</v>
      </c>
      <c r="X85" s="2">
        <v>5.4000000000000006E-2</v>
      </c>
      <c r="Y85" s="41">
        <v>6.8415978139779732E-4</v>
      </c>
      <c r="Z85" s="2">
        <v>-2.2542146890691561E-2</v>
      </c>
      <c r="AA85" s="2">
        <v>-2E-3</v>
      </c>
      <c r="AB85" s="2">
        <v>-0.47899999999999998</v>
      </c>
      <c r="AC85" s="2">
        <v>-2.7999999999999997E-2</v>
      </c>
      <c r="AD85" s="2">
        <v>-2.6000000000000002E-2</v>
      </c>
      <c r="AE85" s="2">
        <v>1.9E-2</v>
      </c>
      <c r="AF85" s="2">
        <v>2.6049863781122173E-2</v>
      </c>
      <c r="AG85" s="2">
        <v>1.8000000000000002E-2</v>
      </c>
      <c r="AH85" s="2">
        <v>4.0999999999999995E-2</v>
      </c>
      <c r="AI85" s="2">
        <v>2.5000000000000001E-2</v>
      </c>
      <c r="AJ85" s="2">
        <v>1.9E-2</v>
      </c>
      <c r="AK85" s="2">
        <v>-0.23699999999999999</v>
      </c>
      <c r="AL85" s="2">
        <v>-4.2999999999999997E-2</v>
      </c>
      <c r="AM85" s="2">
        <v>1.2E-2</v>
      </c>
      <c r="AN85" s="2">
        <v>1.3630762705763022E-3</v>
      </c>
    </row>
    <row r="86" spans="1:40" x14ac:dyDescent="0.25">
      <c r="A86" s="1">
        <f t="shared" si="1"/>
        <v>44348</v>
      </c>
      <c r="B86" s="2">
        <v>-3.1E-2</v>
      </c>
      <c r="C86" s="2">
        <v>-3.2000000000000001E-2</v>
      </c>
      <c r="D86" s="2">
        <v>0.42</v>
      </c>
      <c r="E86" s="2">
        <v>0.43099999999999999</v>
      </c>
      <c r="F86" s="2">
        <v>-5.0999999999999997E-2</v>
      </c>
      <c r="G86" s="2">
        <v>1.8000000000000002E-2</v>
      </c>
      <c r="H86" s="2">
        <v>8.9002652965684881E-2</v>
      </c>
      <c r="I86" s="2">
        <v>0.11276103463111253</v>
      </c>
      <c r="J86" s="2">
        <v>6.2E-2</v>
      </c>
      <c r="K86" s="2">
        <v>0.10800000000000001</v>
      </c>
      <c r="L86" s="2">
        <v>0.10099999999999999</v>
      </c>
      <c r="M86" s="2">
        <v>3.5000000000000003E-2</v>
      </c>
      <c r="N86" s="2">
        <v>-5.5999999999999994E-2</v>
      </c>
      <c r="O86" s="2">
        <v>7.2999999999999995E-2</v>
      </c>
      <c r="P86" s="2">
        <v>0.12</v>
      </c>
      <c r="Q86" s="2">
        <v>0.26600000000000001</v>
      </c>
      <c r="R86" s="2">
        <v>0.14899999999999999</v>
      </c>
      <c r="S86" s="2">
        <v>0.152</v>
      </c>
      <c r="T86" s="2">
        <v>0.36</v>
      </c>
      <c r="U86" s="2">
        <v>0.161</v>
      </c>
      <c r="V86" s="2">
        <v>6.9999999999999993E-3</v>
      </c>
      <c r="W86" s="2">
        <v>0.122</v>
      </c>
      <c r="X86" s="2">
        <v>0.159</v>
      </c>
      <c r="Y86" s="41">
        <v>8.2208999336438993E-2</v>
      </c>
      <c r="Z86" s="2">
        <v>9.9675115488734534E-2</v>
      </c>
      <c r="AA86" s="2">
        <v>0.11</v>
      </c>
      <c r="AB86" s="2">
        <v>1.3859999999999999</v>
      </c>
      <c r="AC86" s="2">
        <v>0.10300000000000001</v>
      </c>
      <c r="AD86" s="2">
        <v>-2.1000000000000001E-2</v>
      </c>
      <c r="AE86" s="2">
        <v>1.2E-2</v>
      </c>
      <c r="AF86" s="2">
        <v>2.5584873702721111E-2</v>
      </c>
      <c r="AG86" s="2">
        <v>1E-3</v>
      </c>
      <c r="AH86" s="2">
        <v>3.4000000000000002E-2</v>
      </c>
      <c r="AI86" s="2">
        <v>0.14699999999999999</v>
      </c>
      <c r="AJ86" s="2">
        <v>8.8000000000000009E-2</v>
      </c>
      <c r="AK86" s="2">
        <v>-0.158</v>
      </c>
      <c r="AL86" s="2">
        <v>3.1E-2</v>
      </c>
      <c r="AM86" s="2">
        <v>8.1000000000000003E-2</v>
      </c>
      <c r="AN86" s="2">
        <v>6.1426291438737346E-2</v>
      </c>
    </row>
    <row r="87" spans="1:40" x14ac:dyDescent="0.25">
      <c r="A87" s="1">
        <f t="shared" si="1"/>
        <v>44440</v>
      </c>
      <c r="B87" s="2">
        <v>-2.6000000000000002E-2</v>
      </c>
      <c r="C87" s="2">
        <v>-0.03</v>
      </c>
      <c r="D87" s="2">
        <v>0.26800000000000002</v>
      </c>
      <c r="E87" s="2">
        <v>0.27500000000000002</v>
      </c>
      <c r="F87" s="2">
        <v>-4.4000000000000004E-2</v>
      </c>
      <c r="G87" s="2">
        <v>4.2999999999999997E-2</v>
      </c>
      <c r="H87" s="2">
        <v>9.2634655075323868E-2</v>
      </c>
      <c r="I87" s="2">
        <v>0.11977239005844176</v>
      </c>
      <c r="J87" s="2">
        <v>6.3E-2</v>
      </c>
      <c r="K87" s="2">
        <v>0.16800000000000001</v>
      </c>
      <c r="L87" s="2">
        <v>0.13</v>
      </c>
      <c r="M87" s="2">
        <v>2.5000000000000001E-2</v>
      </c>
      <c r="N87" s="2">
        <v>-4.8000000000000001E-2</v>
      </c>
      <c r="O87" s="2">
        <v>8.5999999999999993E-2</v>
      </c>
      <c r="P87" s="2">
        <v>6.0999999999999999E-2</v>
      </c>
      <c r="Q87" s="2">
        <v>0.29799999999999999</v>
      </c>
      <c r="R87" s="2">
        <v>0.20800000000000002</v>
      </c>
      <c r="S87" s="2">
        <v>0.191</v>
      </c>
      <c r="T87" s="2">
        <v>0.14099999999999999</v>
      </c>
      <c r="U87" s="2">
        <v>0.11599999999999999</v>
      </c>
      <c r="V87" s="2">
        <v>6.6000000000000003E-2</v>
      </c>
      <c r="W87" s="2">
        <v>8.5999999999999993E-2</v>
      </c>
      <c r="X87" s="2">
        <v>2.4E-2</v>
      </c>
      <c r="Y87" s="41">
        <v>4.5123671890081152E-2</v>
      </c>
      <c r="Z87" s="2">
        <v>5.4259520331060296E-2</v>
      </c>
      <c r="AA87" s="2">
        <v>0.02</v>
      </c>
      <c r="AB87" s="2">
        <v>1.194</v>
      </c>
      <c r="AC87" s="2">
        <v>4.2999999999999997E-2</v>
      </c>
      <c r="AD87" s="2">
        <v>-1.2E-2</v>
      </c>
      <c r="AE87" s="2">
        <v>0.01</v>
      </c>
      <c r="AF87" s="2">
        <v>1.3445137326422385E-2</v>
      </c>
      <c r="AG87" s="2">
        <v>-2E-3</v>
      </c>
      <c r="AH87" s="2">
        <v>2.8999999999999998E-2</v>
      </c>
      <c r="AI87" s="2">
        <v>4.4999999999999998E-2</v>
      </c>
      <c r="AJ87" s="2">
        <v>4.5999999999999999E-2</v>
      </c>
      <c r="AK87" s="2">
        <v>-9.6999999999999989E-2</v>
      </c>
      <c r="AL87" s="2">
        <v>-2.1000000000000001E-2</v>
      </c>
      <c r="AM87" s="2">
        <v>0.04</v>
      </c>
      <c r="AN87" s="2">
        <v>2.2957786735103181E-2</v>
      </c>
    </row>
    <row r="88" spans="1:40" x14ac:dyDescent="0.25">
      <c r="A88" s="1">
        <f t="shared" si="1"/>
        <v>44531</v>
      </c>
      <c r="B88" s="2">
        <v>-1.3999999999999999E-2</v>
      </c>
      <c r="C88" s="2">
        <v>-1.9E-2</v>
      </c>
      <c r="D88" s="2">
        <v>3.2000000000000001E-2</v>
      </c>
      <c r="E88" s="2">
        <v>3.4000000000000002E-2</v>
      </c>
      <c r="F88" s="2">
        <v>-0.01</v>
      </c>
      <c r="G88" s="2">
        <v>0.14000000000000001</v>
      </c>
      <c r="H88" s="2">
        <v>9.3967421497597181E-2</v>
      </c>
      <c r="I88" s="2">
        <v>9.5621558472257284E-2</v>
      </c>
      <c r="J88" s="2">
        <v>9.1999999999999998E-2</v>
      </c>
      <c r="K88" s="2">
        <v>0.16800000000000001</v>
      </c>
      <c r="L88" s="2">
        <v>0.128</v>
      </c>
      <c r="M88" s="2">
        <v>7.0999999999999994E-2</v>
      </c>
      <c r="N88" s="2">
        <v>0.23100000000000001</v>
      </c>
      <c r="O88" s="2">
        <v>9.4E-2</v>
      </c>
      <c r="P88" s="2">
        <v>0.153</v>
      </c>
      <c r="Q88" s="2">
        <v>0.22600000000000001</v>
      </c>
      <c r="R88" s="2">
        <v>7.9000000000000001E-2</v>
      </c>
      <c r="S88" s="2">
        <v>-0.14199999999999999</v>
      </c>
      <c r="T88" s="2">
        <v>-6.2E-2</v>
      </c>
      <c r="U88" s="2">
        <v>-2E-3</v>
      </c>
      <c r="V88" s="2">
        <v>-9.0000000000000011E-3</v>
      </c>
      <c r="W88" s="2">
        <v>8.1000000000000003E-2</v>
      </c>
      <c r="X88" s="2">
        <v>2.1000000000000001E-2</v>
      </c>
      <c r="Y88" s="41">
        <v>2.3820743642812392E-2</v>
      </c>
      <c r="Z88" s="2">
        <v>2.7880507339419047E-2</v>
      </c>
      <c r="AA88" s="2">
        <v>1.7000000000000001E-2</v>
      </c>
      <c r="AB88" s="2">
        <v>0.878</v>
      </c>
      <c r="AC88" s="2">
        <v>4.2999999999999997E-2</v>
      </c>
      <c r="AD88" s="2">
        <v>-2E-3</v>
      </c>
      <c r="AE88" s="2">
        <v>1.7000000000000001E-2</v>
      </c>
      <c r="AF88" s="2">
        <v>1.1984519757166412E-2</v>
      </c>
      <c r="AG88" s="2">
        <v>6.0000000000000001E-3</v>
      </c>
      <c r="AH88" s="2">
        <v>2.6000000000000002E-2</v>
      </c>
      <c r="AI88" s="2">
        <v>-6.9999999999999993E-3</v>
      </c>
      <c r="AJ88" s="2">
        <v>2.7000000000000003E-2</v>
      </c>
      <c r="AK88" s="2">
        <v>-3.3000000000000002E-2</v>
      </c>
      <c r="AL88" s="2">
        <v>-1.3000000000000001E-2</v>
      </c>
      <c r="AM88" s="2">
        <v>2.3E-2</v>
      </c>
      <c r="AN88" s="2">
        <v>2.1917004488075209E-2</v>
      </c>
    </row>
    <row r="89" spans="1:40" s="14" customFormat="1" x14ac:dyDescent="0.25">
      <c r="A89" s="40">
        <f t="shared" si="1"/>
        <v>44621</v>
      </c>
      <c r="B89" s="41">
        <v>4.2999999999999997E-2</v>
      </c>
      <c r="C89" s="41">
        <v>2E-3</v>
      </c>
      <c r="D89" s="41">
        <v>-3.4000000000000002E-2</v>
      </c>
      <c r="E89" s="41">
        <v>-3.5000000000000003E-2</v>
      </c>
      <c r="F89" s="41">
        <v>5.5999999999999994E-2</v>
      </c>
      <c r="G89" s="41">
        <v>9.6999999999999989E-2</v>
      </c>
      <c r="H89" s="41">
        <v>0.17860193730946028</v>
      </c>
      <c r="I89" s="41">
        <v>9.8833780800385851E-2</v>
      </c>
      <c r="J89" s="41">
        <v>0.27200000000000002</v>
      </c>
      <c r="K89" s="41">
        <v>0.16399999999999998</v>
      </c>
      <c r="L89" s="41">
        <v>9.9000000000000005E-2</v>
      </c>
      <c r="M89" s="41">
        <v>2.6000000000000002E-2</v>
      </c>
      <c r="N89" s="41">
        <v>0.105</v>
      </c>
      <c r="O89" s="41">
        <v>8.900000000000001E-2</v>
      </c>
      <c r="P89" s="41">
        <v>0.218</v>
      </c>
      <c r="Q89" s="41">
        <v>9.4E-2</v>
      </c>
      <c r="R89" s="41">
        <v>5.0999999999999997E-2</v>
      </c>
      <c r="S89" s="41">
        <v>-0.13</v>
      </c>
      <c r="T89" s="41">
        <v>-6.7000000000000004E-2</v>
      </c>
      <c r="U89" s="41">
        <v>-3.7000000000000005E-2</v>
      </c>
      <c r="V89" s="41">
        <v>0.13100000000000001</v>
      </c>
      <c r="W89" s="41">
        <v>7.9000000000000001E-2</v>
      </c>
      <c r="X89" s="41">
        <v>3.4000000000000002E-2</v>
      </c>
      <c r="Y89" s="41">
        <v>3.9584800140440413E-2</v>
      </c>
      <c r="Z89" s="41">
        <v>5.4404381695799309E-2</v>
      </c>
      <c r="AA89" s="41">
        <v>3.1E-2</v>
      </c>
      <c r="AB89" s="41">
        <v>0.47899999999999998</v>
      </c>
      <c r="AC89" s="41">
        <v>6.0999999999999999E-2</v>
      </c>
      <c r="AD89" s="41">
        <v>1.1000000000000001E-2</v>
      </c>
      <c r="AE89" s="2">
        <v>0.03</v>
      </c>
      <c r="AF89" s="41">
        <v>2.3390620864297773E-2</v>
      </c>
      <c r="AG89" s="41">
        <v>2.2000000000000002E-2</v>
      </c>
      <c r="AH89" s="41">
        <v>2.4E-2</v>
      </c>
      <c r="AI89" s="41">
        <v>4.5999999999999999E-2</v>
      </c>
      <c r="AJ89" s="41">
        <v>3.3000000000000002E-2</v>
      </c>
      <c r="AK89" s="41">
        <v>-0.156</v>
      </c>
      <c r="AL89" s="41">
        <v>3.9E-2</v>
      </c>
      <c r="AM89" s="41">
        <v>0.03</v>
      </c>
      <c r="AN89" s="41">
        <v>3.6062548686415008E-2</v>
      </c>
    </row>
    <row r="90" spans="1:40" x14ac:dyDescent="0.25">
      <c r="A90" s="1">
        <f t="shared" si="1"/>
        <v>44713</v>
      </c>
      <c r="B90" s="2">
        <v>0.05</v>
      </c>
      <c r="C90" s="2">
        <v>1.7000000000000001E-2</v>
      </c>
      <c r="D90" s="2">
        <v>-0.1</v>
      </c>
      <c r="E90" s="2">
        <v>-0.10199999999999999</v>
      </c>
      <c r="F90" s="2">
        <v>8.5999999999999993E-2</v>
      </c>
      <c r="G90" s="2">
        <v>0.14800000000000002</v>
      </c>
      <c r="H90" s="2">
        <v>2.8819421343471152E-2</v>
      </c>
      <c r="I90" s="2">
        <v>8.5262857801681857E-2</v>
      </c>
      <c r="J90" s="2">
        <v>-3.7000000000000005E-2</v>
      </c>
      <c r="K90" s="2">
        <v>7.400000000000001E-2</v>
      </c>
      <c r="L90" s="2">
        <v>0.10099999999999999</v>
      </c>
      <c r="M90" s="2">
        <v>3.5000000000000003E-2</v>
      </c>
      <c r="N90" s="2">
        <v>0.19800000000000001</v>
      </c>
      <c r="O90" s="2">
        <v>8.1000000000000003E-2</v>
      </c>
      <c r="P90" s="2">
        <v>0.221</v>
      </c>
      <c r="Q90" s="2">
        <v>1.8000000000000002E-2</v>
      </c>
      <c r="R90" s="2">
        <v>6.9999999999999993E-3</v>
      </c>
      <c r="S90" s="2">
        <v>-0.161</v>
      </c>
      <c r="T90" s="2">
        <v>8.3000000000000004E-2</v>
      </c>
      <c r="U90" s="2">
        <v>-2E-3</v>
      </c>
      <c r="V90" s="2">
        <v>0.16600000000000001</v>
      </c>
      <c r="W90" s="2">
        <v>8.5999999999999993E-2</v>
      </c>
      <c r="X90" s="2">
        <v>4.7E-2</v>
      </c>
      <c r="Y90" s="41">
        <v>4.9023658589147701E-2</v>
      </c>
      <c r="Z90" s="2">
        <v>5.8802254240694962E-2</v>
      </c>
      <c r="AA90" s="2">
        <v>4.2000000000000003E-2</v>
      </c>
      <c r="AB90" s="2">
        <v>0.69299999999999995</v>
      </c>
      <c r="AC90" s="2">
        <v>6.6000000000000003E-2</v>
      </c>
      <c r="AD90" s="2">
        <v>0.02</v>
      </c>
      <c r="AE90" s="2">
        <v>3.7000000000000005E-2</v>
      </c>
      <c r="AF90" s="2">
        <v>1.7020546599030517E-2</v>
      </c>
      <c r="AG90" s="2">
        <v>1.6E-2</v>
      </c>
      <c r="AH90" s="2">
        <v>1.3999999999999999E-2</v>
      </c>
      <c r="AI90" s="2">
        <v>3.5000000000000003E-2</v>
      </c>
      <c r="AJ90" s="2">
        <v>0.04</v>
      </c>
      <c r="AK90" s="2">
        <v>-0.105</v>
      </c>
      <c r="AL90" s="2">
        <v>6.9999999999999993E-3</v>
      </c>
      <c r="AM90" s="2">
        <v>3.7000000000000005E-2</v>
      </c>
      <c r="AN90" s="2">
        <v>5.8296033386941337E-2</v>
      </c>
    </row>
    <row r="91" spans="1:40" x14ac:dyDescent="0.25">
      <c r="A91" s="1">
        <f>EDATE(A90,3)</f>
        <v>44805</v>
      </c>
      <c r="B91" s="2">
        <v>5.7000000000000002E-2</v>
      </c>
      <c r="C91" s="2">
        <v>2.7000000000000003E-2</v>
      </c>
      <c r="D91" s="2">
        <v>-4.4000000000000004E-2</v>
      </c>
      <c r="E91" s="2">
        <v>-4.4999999999999998E-2</v>
      </c>
      <c r="F91" s="2">
        <v>9.1999999999999998E-2</v>
      </c>
      <c r="G91" s="2">
        <v>0.16600000000000001</v>
      </c>
      <c r="H91" s="2">
        <v>6.3271893790152633E-2</v>
      </c>
      <c r="I91" s="2">
        <v>9.2642541076057627E-2</v>
      </c>
      <c r="J91" s="2">
        <v>2.7999999999999997E-2</v>
      </c>
      <c r="K91" s="2">
        <v>6.0000000000000001E-3</v>
      </c>
      <c r="L91" s="2">
        <v>0.41799999999999998</v>
      </c>
      <c r="M91" s="2">
        <v>0.20100000000000001</v>
      </c>
      <c r="N91" s="2">
        <v>0.28399999999999997</v>
      </c>
      <c r="O91" s="2">
        <v>0.10099999999999999</v>
      </c>
      <c r="P91" s="2">
        <v>0.19600000000000001</v>
      </c>
      <c r="Q91" s="2">
        <v>-1.2E-2</v>
      </c>
      <c r="R91" s="2">
        <v>-6.0000000000000001E-3</v>
      </c>
      <c r="S91" s="2">
        <v>-2.7999999999999997E-2</v>
      </c>
      <c r="T91" s="2">
        <v>-3.3000000000000002E-2</v>
      </c>
      <c r="U91" s="2">
        <v>-2.3E-2</v>
      </c>
      <c r="V91" s="2">
        <v>0.17199999999999999</v>
      </c>
      <c r="W91" s="2">
        <v>1.9E-2</v>
      </c>
      <c r="X91" s="2">
        <v>3.9E-2</v>
      </c>
      <c r="Y91" s="41">
        <v>4.3186626617617296E-2</v>
      </c>
      <c r="Z91" s="2">
        <v>5.0925344012060503E-2</v>
      </c>
      <c r="AA91" s="2">
        <v>0.05</v>
      </c>
      <c r="AB91" s="2">
        <v>0.47799999999999998</v>
      </c>
      <c r="AC91" s="2">
        <v>2.7000000000000003E-2</v>
      </c>
      <c r="AD91" s="2">
        <v>2.6000000000000002E-2</v>
      </c>
      <c r="AE91" s="2">
        <v>4.0999999999999995E-2</v>
      </c>
      <c r="AF91" s="2">
        <v>2.1148105055831756E-2</v>
      </c>
      <c r="AG91" s="2">
        <v>2.4E-2</v>
      </c>
      <c r="AH91" s="2">
        <v>1.4999999999999999E-2</v>
      </c>
      <c r="AI91" s="2">
        <v>2.7999999999999997E-2</v>
      </c>
      <c r="AJ91" s="2">
        <v>3.9E-2</v>
      </c>
      <c r="AK91" s="2">
        <v>-0.153</v>
      </c>
      <c r="AL91" s="2">
        <v>1.7000000000000001E-2</v>
      </c>
      <c r="AM91" s="2">
        <v>3.5000000000000003E-2</v>
      </c>
      <c r="AN91" s="2">
        <v>4.6874721716391177E-2</v>
      </c>
    </row>
    <row r="92" spans="1:40" ht="17.25" customHeight="1" x14ac:dyDescent="0.25">
      <c r="A92" s="1">
        <f t="shared" ref="A92:A95" si="2">EDATE(A91,3)</f>
        <v>44896</v>
      </c>
      <c r="B92" s="2">
        <v>5.7000000000000002E-2</v>
      </c>
      <c r="C92" s="2">
        <v>3.2000000000000001E-2</v>
      </c>
      <c r="D92" s="2">
        <v>-2.6000000000000002E-2</v>
      </c>
      <c r="E92" s="2">
        <v>-2.7999999999999997E-2</v>
      </c>
      <c r="F92" s="2">
        <v>9.9000000000000005E-2</v>
      </c>
      <c r="G92" s="2">
        <v>0.10099999999999999</v>
      </c>
      <c r="H92" s="2">
        <v>0.11564959712859246</v>
      </c>
      <c r="I92" s="2">
        <v>0.10291722072989962</v>
      </c>
      <c r="J92" s="2">
        <v>0.13100000000000001</v>
      </c>
      <c r="K92" s="2">
        <v>0.03</v>
      </c>
      <c r="L92" s="2">
        <v>0.16699999999999998</v>
      </c>
      <c r="M92" s="2">
        <v>0.16899999999999998</v>
      </c>
      <c r="N92" s="2">
        <v>5.2000000000000005E-2</v>
      </c>
      <c r="O92" s="2">
        <v>0.10099999999999999</v>
      </c>
      <c r="P92" s="2">
        <v>0.14699999999999999</v>
      </c>
      <c r="Q92" s="2">
        <v>-3.0000000000000001E-3</v>
      </c>
      <c r="R92" s="2">
        <v>3.2000000000000001E-2</v>
      </c>
      <c r="S92" s="2">
        <v>0.45200000000000001</v>
      </c>
      <c r="T92" s="2">
        <v>0.22699999999999998</v>
      </c>
      <c r="U92" s="2">
        <v>0.13500000000000001</v>
      </c>
      <c r="V92" s="2">
        <v>0.16800000000000001</v>
      </c>
      <c r="W92" s="2">
        <v>4.4000000000000004E-2</v>
      </c>
      <c r="X92" s="2">
        <v>4.0999999999999995E-2</v>
      </c>
      <c r="Y92" s="41">
        <v>4.8793634415721154E-2</v>
      </c>
      <c r="Z92" s="2">
        <v>5.8197083284695861E-2</v>
      </c>
      <c r="AA92" s="2">
        <v>5.2000000000000005E-2</v>
      </c>
      <c r="AB92" s="2">
        <v>0.52700000000000002</v>
      </c>
      <c r="AC92" s="2">
        <v>3.1E-2</v>
      </c>
      <c r="AD92" s="2">
        <v>0.03</v>
      </c>
      <c r="AE92" s="2">
        <v>4.0999999999999995E-2</v>
      </c>
      <c r="AF92" s="2">
        <v>2.2826272586251584E-2</v>
      </c>
      <c r="AG92" s="2">
        <v>2.6000000000000002E-2</v>
      </c>
      <c r="AH92" s="2">
        <v>1.7000000000000001E-2</v>
      </c>
      <c r="AI92" s="2">
        <v>2.6000000000000002E-2</v>
      </c>
      <c r="AJ92" s="2">
        <v>4.2999999999999997E-2</v>
      </c>
      <c r="AK92" s="2">
        <v>-2.7000000000000003E-2</v>
      </c>
      <c r="AL92" s="2">
        <v>5.5E-2</v>
      </c>
      <c r="AM92" s="2">
        <v>4.2999999999999997E-2</v>
      </c>
      <c r="AN92" s="2">
        <v>5.6864421127821529E-2</v>
      </c>
    </row>
    <row r="93" spans="1:40" x14ac:dyDescent="0.25">
      <c r="A93" s="1">
        <f t="shared" si="2"/>
        <v>44986</v>
      </c>
      <c r="B93" s="2">
        <v>4.0999999999999995E-2</v>
      </c>
      <c r="C93" s="2">
        <v>2.1000000000000001E-2</v>
      </c>
      <c r="D93" s="2">
        <v>-4.2999999999999997E-2</v>
      </c>
      <c r="E93" s="2">
        <v>-4.4000000000000004E-2</v>
      </c>
      <c r="F93" s="2">
        <v>4.0999999999999995E-2</v>
      </c>
      <c r="G93" s="2">
        <v>5.5E-2</v>
      </c>
      <c r="H93" s="2">
        <v>1.1232126093786654E-2</v>
      </c>
      <c r="I93" s="2">
        <v>0.105668241841399</v>
      </c>
      <c r="J93" s="2">
        <v>-9.3000000000000013E-2</v>
      </c>
      <c r="K93" s="2">
        <v>8.1000000000000003E-2</v>
      </c>
      <c r="L93" s="2">
        <v>0.12</v>
      </c>
      <c r="M93" s="2">
        <v>0.17300000000000001</v>
      </c>
      <c r="N93" s="2">
        <v>0.16699999999999998</v>
      </c>
      <c r="O93" s="2">
        <v>0.06</v>
      </c>
      <c r="P93" s="2">
        <v>9.4E-2</v>
      </c>
      <c r="Q93" s="2">
        <v>4.2000000000000003E-2</v>
      </c>
      <c r="R93" s="2">
        <v>8.3000000000000004E-2</v>
      </c>
      <c r="S93" s="2">
        <v>0.29299999999999998</v>
      </c>
      <c r="T93" s="2">
        <v>0.32799999999999996</v>
      </c>
      <c r="U93" s="2">
        <v>0.22600000000000001</v>
      </c>
      <c r="V93" s="2">
        <v>0.13100000000000001</v>
      </c>
      <c r="W93" s="2">
        <v>4.5999999999999999E-2</v>
      </c>
      <c r="X93" s="2">
        <v>0.05</v>
      </c>
      <c r="Y93" s="41">
        <v>3.6262006153946924E-2</v>
      </c>
      <c r="Z93" s="2">
        <v>3.9876822760544828E-2</v>
      </c>
      <c r="AA93" s="2">
        <v>5.7999999999999996E-2</v>
      </c>
      <c r="AB93" s="2">
        <v>0.05</v>
      </c>
      <c r="AC93" s="2">
        <v>2.3E-2</v>
      </c>
      <c r="AD93" s="2">
        <v>3.4000000000000002E-2</v>
      </c>
      <c r="AE93" s="2">
        <v>2.7000000000000003E-2</v>
      </c>
      <c r="AF93" s="2">
        <v>2.7527607567721546E-2</v>
      </c>
      <c r="AG93" s="2">
        <v>3.1E-2</v>
      </c>
      <c r="AH93" s="2">
        <v>0.02</v>
      </c>
      <c r="AI93" s="2">
        <v>3.7000000000000005E-2</v>
      </c>
      <c r="AJ93" s="2">
        <v>2.2000000000000002E-2</v>
      </c>
      <c r="AK93" s="2">
        <v>4.2999999999999997E-2</v>
      </c>
      <c r="AL93" s="2">
        <v>6.3E-2</v>
      </c>
      <c r="AM93" s="2">
        <v>2.4E-2</v>
      </c>
      <c r="AN93" s="2">
        <v>3.5601577487031744E-2</v>
      </c>
    </row>
    <row r="94" spans="1:40" x14ac:dyDescent="0.25">
      <c r="A94" s="1">
        <f t="shared" si="2"/>
        <v>45078</v>
      </c>
      <c r="B94" s="2">
        <v>2.8999999999999998E-2</v>
      </c>
      <c r="C94" s="2">
        <v>3.1E-2</v>
      </c>
      <c r="D94" s="2">
        <v>0.08</v>
      </c>
      <c r="E94" s="2">
        <v>8.1000000000000003E-2</v>
      </c>
      <c r="F94" s="2">
        <v>1.7000000000000001E-2</v>
      </c>
      <c r="G94" s="2">
        <v>9.0000000000000011E-3</v>
      </c>
      <c r="H94" s="2">
        <v>0.13462447564967861</v>
      </c>
      <c r="I94" s="2">
        <v>0.10211251782803266</v>
      </c>
      <c r="J94" s="2">
        <v>0.17399999999999999</v>
      </c>
      <c r="K94" s="2">
        <v>0.16500000000000001</v>
      </c>
      <c r="L94" s="2">
        <v>8.3000000000000004E-2</v>
      </c>
      <c r="M94" s="2">
        <v>0.1</v>
      </c>
      <c r="N94" s="2">
        <v>-8.900000000000001E-2</v>
      </c>
      <c r="O94" s="2">
        <v>8.8000000000000009E-2</v>
      </c>
      <c r="P94" s="2">
        <v>6.7000000000000004E-2</v>
      </c>
      <c r="Q94" s="2">
        <v>6.7000000000000004E-2</v>
      </c>
      <c r="R94" s="2">
        <v>9.0999999999999998E-2</v>
      </c>
      <c r="S94" s="2">
        <v>0.26400000000000001</v>
      </c>
      <c r="T94" s="2">
        <v>0.13400000000000001</v>
      </c>
      <c r="U94" s="2">
        <v>0.188</v>
      </c>
      <c r="V94" s="2">
        <v>5.7999999999999996E-2</v>
      </c>
      <c r="W94" s="2">
        <v>1.7000000000000001E-2</v>
      </c>
      <c r="X94" s="2">
        <v>0.04</v>
      </c>
      <c r="Y94" s="41">
        <v>4.5273451589575853E-2</v>
      </c>
      <c r="Z94" s="2">
        <v>5.3428764256959971E-2</v>
      </c>
      <c r="AA94" s="2">
        <v>6.6000000000000003E-2</v>
      </c>
      <c r="AB94" s="2">
        <v>0.312</v>
      </c>
      <c r="AC94" s="2">
        <v>3.5000000000000003E-2</v>
      </c>
      <c r="AD94" s="2">
        <v>4.4999999999999998E-2</v>
      </c>
      <c r="AE94" s="2">
        <v>2.7999999999999997E-2</v>
      </c>
      <c r="AF94" s="2">
        <v>3.0106485603277111E-2</v>
      </c>
      <c r="AG94" s="2">
        <v>3.4000000000000002E-2</v>
      </c>
      <c r="AH94" s="2">
        <v>2.4E-2</v>
      </c>
      <c r="AI94" s="2">
        <v>2.6000000000000002E-2</v>
      </c>
      <c r="AJ94" s="2">
        <v>0.05</v>
      </c>
      <c r="AK94" s="2">
        <v>0.12</v>
      </c>
      <c r="AL94" s="2">
        <v>6.4000000000000001E-2</v>
      </c>
      <c r="AM94" s="2">
        <v>5.0999999999999997E-2</v>
      </c>
      <c r="AN94" s="2">
        <v>4.4283583177882502E-2</v>
      </c>
    </row>
    <row r="95" spans="1:40" x14ac:dyDescent="0.25">
      <c r="A95" s="1">
        <f t="shared" si="2"/>
        <v>45170</v>
      </c>
      <c r="B95" s="2">
        <v>2.5000000000000001E-2</v>
      </c>
      <c r="C95" s="2">
        <v>3.2000000000000001E-2</v>
      </c>
      <c r="D95" s="2">
        <v>0.21199999999999999</v>
      </c>
      <c r="E95" s="2">
        <v>0.215</v>
      </c>
      <c r="F95" s="2">
        <v>2.1000000000000001E-2</v>
      </c>
      <c r="G95" s="2">
        <v>1.2E-2</v>
      </c>
      <c r="H95" s="2">
        <v>9.1923862164229098E-2</v>
      </c>
      <c r="I95" s="2">
        <v>8.0322981214016709E-2</v>
      </c>
      <c r="J95" s="2">
        <v>0.106</v>
      </c>
      <c r="K95" s="2">
        <v>7.400000000000001E-2</v>
      </c>
      <c r="L95" s="2">
        <v>1.9E-2</v>
      </c>
      <c r="M95" s="2">
        <v>1.6E-2</v>
      </c>
      <c r="N95" s="2">
        <v>-4.9000000000000002E-2</v>
      </c>
      <c r="O95" s="2">
        <v>2.1000000000000001E-2</v>
      </c>
      <c r="P95" s="2">
        <v>9.8000000000000004E-2</v>
      </c>
      <c r="Q95" s="2">
        <v>7.4999999999999997E-2</v>
      </c>
      <c r="R95" s="2">
        <v>0.14300000000000002</v>
      </c>
      <c r="S95" s="2">
        <v>0.13200000000000001</v>
      </c>
      <c r="T95" s="2">
        <v>0.20199999999999999</v>
      </c>
      <c r="U95" s="2">
        <v>0.22</v>
      </c>
      <c r="V95" s="2">
        <v>0.10099999999999999</v>
      </c>
      <c r="W95" s="2">
        <v>7.2000000000000008E-2</v>
      </c>
      <c r="X95" s="2">
        <v>2.7999999999999997E-2</v>
      </c>
      <c r="Y95" s="41">
        <v>3.45953607744105E-2</v>
      </c>
      <c r="Z95" s="2">
        <v>4.0320040306330851E-2</v>
      </c>
      <c r="AA95" s="2">
        <v>3.7999999999999999E-2</v>
      </c>
      <c r="AB95" s="2">
        <v>0.21</v>
      </c>
      <c r="AC95" s="2">
        <v>2.1000000000000001E-2</v>
      </c>
      <c r="AD95" s="2">
        <v>4.7E-2</v>
      </c>
      <c r="AE95" s="2">
        <v>2.7000000000000003E-2</v>
      </c>
      <c r="AF95" s="2">
        <v>2.4410100315417127E-2</v>
      </c>
      <c r="AG95" s="2">
        <v>2.6000000000000002E-2</v>
      </c>
      <c r="AH95" s="2">
        <v>2.2000000000000002E-2</v>
      </c>
      <c r="AI95" s="2">
        <v>2.2000000000000002E-2</v>
      </c>
      <c r="AJ95" s="2">
        <v>5.7999999999999996E-2</v>
      </c>
      <c r="AK95" s="2">
        <v>0.106</v>
      </c>
      <c r="AL95" s="2">
        <v>0.11800000000000001</v>
      </c>
      <c r="AM95" s="2">
        <v>6.0999999999999999E-2</v>
      </c>
      <c r="AN95" s="2">
        <v>1.8612877868680267E-2</v>
      </c>
    </row>
    <row r="96" spans="1:40" x14ac:dyDescent="0.25">
      <c r="A96" s="1">
        <f>EDATE(A95,3)</f>
        <v>45261</v>
      </c>
      <c r="B96" s="2">
        <v>2.5000000000000001E-2</v>
      </c>
      <c r="C96" s="2">
        <v>3.6000000000000004E-2</v>
      </c>
      <c r="D96" s="2">
        <v>-3.7000000000000005E-2</v>
      </c>
      <c r="E96" s="2">
        <v>-3.7999999999999999E-2</v>
      </c>
      <c r="F96" s="2">
        <v>1.3000000000000001E-2</v>
      </c>
      <c r="G96" s="2">
        <v>1.4999999999999999E-2</v>
      </c>
      <c r="H96" s="2">
        <v>1.9278287363073465E-2</v>
      </c>
      <c r="I96" s="2">
        <v>7.0672874913199957E-2</v>
      </c>
      <c r="J96" s="2">
        <v>-4.7E-2</v>
      </c>
      <c r="K96" s="2">
        <v>0.14699999999999999</v>
      </c>
      <c r="L96" s="2">
        <v>5.7000000000000002E-2</v>
      </c>
      <c r="M96" s="2">
        <v>6.2E-2</v>
      </c>
      <c r="N96" s="2">
        <v>2.3E-2</v>
      </c>
      <c r="O96" s="2">
        <v>4.0999999999999995E-2</v>
      </c>
      <c r="P96" s="2">
        <v>7.0000000000000007E-2</v>
      </c>
      <c r="Q96" s="2">
        <v>0.06</v>
      </c>
      <c r="R96" s="2">
        <v>0.126</v>
      </c>
      <c r="S96" s="2">
        <v>-9.5000000000000001E-2</v>
      </c>
      <c r="T96" s="2">
        <v>-0.13200000000000001</v>
      </c>
      <c r="U96" s="2">
        <v>4.7E-2</v>
      </c>
      <c r="V96" s="2">
        <v>7.9000000000000001E-2</v>
      </c>
      <c r="W96" s="2">
        <v>4.4000000000000004E-2</v>
      </c>
      <c r="X96" s="2">
        <v>0.02</v>
      </c>
      <c r="Y96" s="41">
        <v>4.6757537334199961E-2</v>
      </c>
      <c r="Z96" s="2">
        <v>5.7703014757984672E-2</v>
      </c>
      <c r="AA96" s="2">
        <v>8.5999999999999993E-2</v>
      </c>
      <c r="AB96" s="2">
        <v>0.13300000000000001</v>
      </c>
      <c r="AC96" s="2">
        <v>3.7999999999999999E-2</v>
      </c>
      <c r="AD96" s="2">
        <v>5.0999999999999997E-2</v>
      </c>
      <c r="AE96" s="2">
        <v>3.4000000000000002E-2</v>
      </c>
      <c r="AF96" s="2">
        <v>2.0324523427477814E-2</v>
      </c>
      <c r="AG96" s="2">
        <v>1.7000000000000001E-2</v>
      </c>
      <c r="AH96" s="2">
        <v>2.6000000000000002E-2</v>
      </c>
      <c r="AI96" s="2">
        <v>1.9E-2</v>
      </c>
      <c r="AJ96" s="2">
        <v>2.3E-2</v>
      </c>
      <c r="AK96" s="2">
        <v>0.151</v>
      </c>
      <c r="AL96" s="2">
        <v>0.16200000000000001</v>
      </c>
      <c r="AM96" s="2">
        <v>0.03</v>
      </c>
      <c r="AN96" s="2">
        <v>4.9880212073782904E-2</v>
      </c>
    </row>
    <row r="97" spans="1:40" s="14" customFormat="1" x14ac:dyDescent="0.25">
      <c r="A97" s="40">
        <f>EDATE(A96,3)</f>
        <v>45352</v>
      </c>
      <c r="B97" s="2">
        <v>3.2000000000000001E-2</v>
      </c>
      <c r="C97" s="2">
        <v>0.04</v>
      </c>
      <c r="D97" s="41">
        <v>-9.0000000000000011E-3</v>
      </c>
      <c r="E97" s="2">
        <v>-0.01</v>
      </c>
      <c r="F97" s="2">
        <v>3.2000000000000001E-2</v>
      </c>
      <c r="G97" s="41">
        <v>4.0999999999999995E-2</v>
      </c>
      <c r="H97" s="41">
        <v>2.0872152323410331E-2</v>
      </c>
      <c r="I97" s="41">
        <v>2.9021925350761313E-2</v>
      </c>
      <c r="J97" s="2">
        <v>1.1000000000000001E-2</v>
      </c>
      <c r="K97" s="2">
        <v>-2.7000000000000003E-2</v>
      </c>
      <c r="L97" s="2">
        <v>5.5999999999999994E-2</v>
      </c>
      <c r="M97" s="2">
        <v>4.0999999999999995E-2</v>
      </c>
      <c r="N97" s="2">
        <v>4.7E-2</v>
      </c>
      <c r="O97" s="2">
        <v>4.5999999999999999E-2</v>
      </c>
      <c r="P97" s="2">
        <v>3.9E-2</v>
      </c>
      <c r="Q97" s="2">
        <v>7.400000000000001E-2</v>
      </c>
      <c r="R97" s="2">
        <v>6.2E-2</v>
      </c>
      <c r="S97" s="2">
        <v>4.7E-2</v>
      </c>
      <c r="T97" s="2">
        <v>-6.3E-2</v>
      </c>
      <c r="U97" s="2">
        <v>0.03</v>
      </c>
      <c r="V97" s="2">
        <v>3.7999999999999999E-2</v>
      </c>
      <c r="W97" s="2">
        <v>5.7000000000000002E-2</v>
      </c>
      <c r="X97" s="2">
        <v>3.5000000000000003E-2</v>
      </c>
      <c r="Y97" s="41">
        <v>4.3729748343775743E-2</v>
      </c>
      <c r="Z97" s="41">
        <v>5.2574632276755962E-2</v>
      </c>
      <c r="AA97" s="2">
        <v>7.0000000000000007E-2</v>
      </c>
      <c r="AB97" s="2">
        <v>7.2000000000000008E-2</v>
      </c>
      <c r="AC97" s="2">
        <v>4.0999999999999995E-2</v>
      </c>
      <c r="AD97" s="2">
        <v>3.9E-2</v>
      </c>
      <c r="AE97" s="2">
        <v>3.4000000000000002E-2</v>
      </c>
      <c r="AF97" s="41">
        <v>2.3929082383247646E-2</v>
      </c>
      <c r="AG97" s="2">
        <v>2.4E-2</v>
      </c>
      <c r="AH97" s="2">
        <v>2.1000000000000001E-2</v>
      </c>
      <c r="AI97" s="2">
        <v>4.0999999999999995E-2</v>
      </c>
      <c r="AJ97" s="2">
        <v>3.9E-2</v>
      </c>
      <c r="AK97" s="2">
        <v>6.4000000000000001E-2</v>
      </c>
      <c r="AL97" s="2">
        <v>0.13</v>
      </c>
      <c r="AM97" s="2">
        <v>4.2999999999999997E-2</v>
      </c>
      <c r="AN97" s="41">
        <v>5.1395321766634083E-2</v>
      </c>
    </row>
    <row r="98" spans="1:40" x14ac:dyDescent="0.25">
      <c r="A98" s="1">
        <f>EDATE(A97,3)</f>
        <v>45444</v>
      </c>
      <c r="B98" s="2">
        <v>6.7000000000000004E-2</v>
      </c>
      <c r="C98" s="2">
        <v>4.0999999999999995E-2</v>
      </c>
      <c r="D98" s="2">
        <v>2.7999999999999997E-2</v>
      </c>
      <c r="E98" s="2">
        <v>2.8999999999999998E-2</v>
      </c>
      <c r="F98" s="2">
        <v>3.6000000000000004E-2</v>
      </c>
      <c r="G98" s="2">
        <v>4.4000000000000004E-2</v>
      </c>
      <c r="H98" s="2">
        <v>6.5222621022820837E-2</v>
      </c>
      <c r="I98" s="2">
        <v>7.9393188095190359E-2</v>
      </c>
      <c r="J98" s="2">
        <v>4.7E-2</v>
      </c>
      <c r="K98" s="2">
        <v>0.16899999999999998</v>
      </c>
      <c r="L98" s="2">
        <v>0.23699999999999999</v>
      </c>
      <c r="M98" s="2">
        <v>0.184</v>
      </c>
      <c r="N98" s="2">
        <v>3.3000000000000002E-2</v>
      </c>
      <c r="O98" s="2">
        <v>3.3000000000000002E-2</v>
      </c>
      <c r="P98" s="2">
        <v>7.0000000000000007E-2</v>
      </c>
      <c r="Q98" s="2">
        <v>0.05</v>
      </c>
      <c r="R98" s="2">
        <v>5.7000000000000002E-2</v>
      </c>
      <c r="S98" s="2">
        <v>5.7000000000000002E-2</v>
      </c>
      <c r="T98" s="2">
        <v>-6.9000000000000006E-2</v>
      </c>
      <c r="U98" s="2">
        <v>-4.0000000000000001E-3</v>
      </c>
      <c r="V98" s="2">
        <v>3.1E-2</v>
      </c>
      <c r="W98" s="2">
        <v>8.5000000000000006E-2</v>
      </c>
      <c r="X98" s="2">
        <v>3.6000000000000004E-2</v>
      </c>
      <c r="Y98" s="41">
        <v>4.3464654088043231E-2</v>
      </c>
      <c r="Z98" s="2">
        <v>4.9402942010941864E-2</v>
      </c>
      <c r="AA98" s="2">
        <v>6.4000000000000001E-2</v>
      </c>
      <c r="AB98" s="2">
        <v>9.0999999999999998E-2</v>
      </c>
      <c r="AC98" s="2">
        <v>4.5999999999999999E-2</v>
      </c>
      <c r="AD98" s="2">
        <v>4.2000000000000003E-2</v>
      </c>
      <c r="AE98" s="2">
        <v>0.03</v>
      </c>
      <c r="AF98" s="2">
        <v>3.1409400298857193E-2</v>
      </c>
      <c r="AG98" s="2">
        <v>0.03</v>
      </c>
      <c r="AH98" s="2">
        <v>3.2000000000000001E-2</v>
      </c>
      <c r="AI98" s="2">
        <v>4.4000000000000004E-2</v>
      </c>
      <c r="AJ98" s="2">
        <v>4.0999999999999995E-2</v>
      </c>
      <c r="AK98" s="2">
        <v>0.11699999999999999</v>
      </c>
      <c r="AL98" s="2">
        <v>-6.9000000000000006E-2</v>
      </c>
      <c r="AM98" s="2">
        <v>3.7000000000000005E-2</v>
      </c>
      <c r="AN98" s="2">
        <v>3.8267698054723631E-2</v>
      </c>
    </row>
    <row r="99" spans="1:40" x14ac:dyDescent="0.25">
      <c r="A99" s="1">
        <f t="shared" ref="A99:A100" si="3">EDATE(A98,3)</f>
        <v>45536</v>
      </c>
      <c r="B99" s="2">
        <v>0.06</v>
      </c>
      <c r="C99" s="2">
        <v>4.8000000000000001E-2</v>
      </c>
      <c r="D99" s="2">
        <v>-0.106</v>
      </c>
      <c r="E99" s="2">
        <v>-0.10800000000000001</v>
      </c>
      <c r="F99" s="2">
        <v>4.2000000000000003E-2</v>
      </c>
      <c r="G99" s="2">
        <v>5.0999999999999997E-2</v>
      </c>
      <c r="H99" s="2">
        <v>9.3800859708670359E-2</v>
      </c>
      <c r="I99" s="2">
        <v>8.5995381064696064E-2</v>
      </c>
      <c r="J99" s="2">
        <v>0.10400000000000001</v>
      </c>
      <c r="K99" s="2">
        <v>0.24</v>
      </c>
      <c r="L99" s="2">
        <v>8.0000000000000002E-3</v>
      </c>
      <c r="M99" s="2">
        <v>-5.2000000000000005E-2</v>
      </c>
      <c r="N99" s="2">
        <v>2.1000000000000001E-2</v>
      </c>
      <c r="O99" s="2">
        <v>6.9000000000000006E-2</v>
      </c>
      <c r="P99" s="2">
        <v>0.129</v>
      </c>
      <c r="Q99" s="2">
        <v>7.2999999999999995E-2</v>
      </c>
      <c r="R99" s="2">
        <v>1.8000000000000002E-2</v>
      </c>
      <c r="S99" s="2">
        <v>-6.0999999999999999E-2</v>
      </c>
      <c r="T99" s="2">
        <v>6.2E-2</v>
      </c>
      <c r="U99" s="2">
        <v>1.4999999999999999E-2</v>
      </c>
      <c r="V99" s="2">
        <v>7.2000000000000008E-2</v>
      </c>
      <c r="W99" s="2">
        <v>4.7E-2</v>
      </c>
      <c r="X99" s="2">
        <v>3.6000000000000004E-2</v>
      </c>
      <c r="Y99" s="41">
        <v>4.8963709189744797E-2</v>
      </c>
      <c r="Z99" s="2">
        <v>5.883310829279087E-2</v>
      </c>
      <c r="AA99" s="2">
        <v>8.8000000000000009E-2</v>
      </c>
      <c r="AB99" s="2">
        <v>0.107</v>
      </c>
      <c r="AC99" s="2">
        <v>3.7999999999999999E-2</v>
      </c>
      <c r="AD99" s="2">
        <v>4.8000000000000001E-2</v>
      </c>
      <c r="AE99" s="2">
        <v>3.2000000000000001E-2</v>
      </c>
      <c r="AF99" s="2">
        <v>3.3157427749761492E-2</v>
      </c>
      <c r="AG99" s="2">
        <v>3.4000000000000002E-2</v>
      </c>
      <c r="AH99" s="2">
        <v>3.1E-2</v>
      </c>
      <c r="AI99" s="2">
        <v>3.9E-2</v>
      </c>
      <c r="AJ99" s="2">
        <v>2.1000000000000001E-2</v>
      </c>
      <c r="AK99" s="2">
        <v>8.5000000000000006E-2</v>
      </c>
      <c r="AL99" s="2">
        <v>8.199999999999999E-2</v>
      </c>
      <c r="AM99" s="2">
        <v>2.4E-2</v>
      </c>
      <c r="AN99" s="2">
        <v>4.6172093498450417E-2</v>
      </c>
    </row>
    <row r="100" spans="1:40" x14ac:dyDescent="0.25">
      <c r="A100" s="1">
        <f t="shared" si="3"/>
        <v>45627</v>
      </c>
      <c r="B100" s="2">
        <v>5.2999999999999999E-2</v>
      </c>
      <c r="C100" s="2">
        <v>4.2999999999999997E-2</v>
      </c>
      <c r="D100" s="2">
        <v>-0.01</v>
      </c>
      <c r="E100" s="2">
        <v>-1.3000000000000001E-2</v>
      </c>
      <c r="F100" s="2">
        <v>0.14899999999999999</v>
      </c>
      <c r="G100" s="2">
        <v>0.03</v>
      </c>
      <c r="H100" s="2">
        <v>4.570535309879542E-2</v>
      </c>
      <c r="I100" s="2">
        <v>4.5489555648067004E-2</v>
      </c>
      <c r="J100" s="2">
        <v>4.5999999999999999E-2</v>
      </c>
      <c r="K100" s="2">
        <v>3.9E-2</v>
      </c>
      <c r="L100" s="2">
        <v>5.7000000000000002E-2</v>
      </c>
      <c r="M100" s="2">
        <v>6.6000000000000003E-2</v>
      </c>
      <c r="N100" s="2">
        <v>0.02</v>
      </c>
      <c r="O100" s="2">
        <v>3.2000000000000001E-2</v>
      </c>
      <c r="P100" s="2">
        <v>8.8000000000000009E-2</v>
      </c>
      <c r="Q100" s="2">
        <v>0.114</v>
      </c>
      <c r="R100" s="2">
        <v>4.8000000000000001E-2</v>
      </c>
      <c r="S100" s="2">
        <v>0.11800000000000001</v>
      </c>
      <c r="T100" s="2">
        <v>-0.114</v>
      </c>
      <c r="U100" s="2">
        <v>4.2999999999999997E-2</v>
      </c>
      <c r="V100" s="2">
        <v>3.0000000000000001E-3</v>
      </c>
      <c r="W100" s="2">
        <v>5.5999999999999994E-2</v>
      </c>
      <c r="X100" s="2">
        <v>4.2000000000000003E-2</v>
      </c>
      <c r="Y100" s="41">
        <v>5.009669441267417E-2</v>
      </c>
      <c r="Z100" s="2">
        <v>5.7918520109480065E-2</v>
      </c>
      <c r="AA100" s="2">
        <v>7.4999999999999997E-2</v>
      </c>
      <c r="AB100" s="2">
        <v>5.5999999999999994E-2</v>
      </c>
      <c r="AC100" s="2">
        <v>5.5E-2</v>
      </c>
      <c r="AD100" s="2">
        <v>5.0999999999999997E-2</v>
      </c>
      <c r="AE100" s="2">
        <v>3.7999999999999999E-2</v>
      </c>
      <c r="AF100" s="2">
        <v>3.1776832282140566E-2</v>
      </c>
      <c r="AG100" s="2">
        <v>3.1E-2</v>
      </c>
      <c r="AH100" s="2">
        <v>3.2000000000000001E-2</v>
      </c>
      <c r="AI100" s="2">
        <v>3.7000000000000005E-2</v>
      </c>
      <c r="AJ100" s="2">
        <v>0.04</v>
      </c>
      <c r="AK100" s="2">
        <v>1.9E-2</v>
      </c>
      <c r="AL100" s="2">
        <v>9.9000000000000005E-2</v>
      </c>
      <c r="AM100" s="2">
        <v>4.2000000000000003E-2</v>
      </c>
      <c r="AN100" s="2">
        <v>5.1188525492817716E-2</v>
      </c>
    </row>
    <row r="101" spans="1:40" x14ac:dyDescent="0.25">
      <c r="A101" s="40">
        <f>EDATE(A100,3)</f>
        <v>45717</v>
      </c>
      <c r="B101" s="2">
        <v>6.0999999999999999E-2</v>
      </c>
      <c r="C101" s="2">
        <v>6.3E-2</v>
      </c>
      <c r="D101" s="2">
        <v>-1.4999999999999999E-2</v>
      </c>
      <c r="E101" s="2">
        <v>-1.6E-2</v>
      </c>
      <c r="F101" s="2">
        <v>1.3999999999999999E-2</v>
      </c>
      <c r="G101" s="2">
        <v>2E-3</v>
      </c>
      <c r="H101" s="2">
        <v>6.5107417121062827E-2</v>
      </c>
      <c r="I101" s="2">
        <v>6.6774920354215173E-2</v>
      </c>
      <c r="J101" s="2">
        <v>6.3E-2</v>
      </c>
      <c r="K101" s="2">
        <v>9.6000000000000002E-2</v>
      </c>
      <c r="L101" s="2">
        <v>0.13100000000000001</v>
      </c>
      <c r="M101" s="2">
        <v>6.0999999999999999E-2</v>
      </c>
      <c r="N101" s="2">
        <v>-5.7999999999999996E-2</v>
      </c>
      <c r="O101" s="2">
        <v>3.9E-2</v>
      </c>
      <c r="P101" s="2">
        <v>9.5000000000000001E-2</v>
      </c>
      <c r="Q101" s="2">
        <v>-1.6E-2</v>
      </c>
      <c r="R101" s="2">
        <v>5.2999999999999999E-2</v>
      </c>
      <c r="S101" s="2">
        <v>-9.0000000000000011E-3</v>
      </c>
      <c r="T101" s="2">
        <v>-2.1000000000000001E-2</v>
      </c>
      <c r="U101" s="2">
        <v>5.5999999999999994E-2</v>
      </c>
      <c r="V101" s="2">
        <v>0.14599999999999999</v>
      </c>
      <c r="W101" s="2">
        <v>3.9E-2</v>
      </c>
      <c r="X101" s="2">
        <v>0.03</v>
      </c>
      <c r="Y101" s="41">
        <v>5.2087468234070622E-2</v>
      </c>
      <c r="Z101" s="2">
        <v>7.1811633688292353E-2</v>
      </c>
      <c r="AA101" s="2">
        <v>7.8E-2</v>
      </c>
      <c r="AB101" s="2">
        <v>9.9000000000000005E-2</v>
      </c>
      <c r="AC101" s="2">
        <v>8.1000000000000003E-2</v>
      </c>
      <c r="AD101" s="2">
        <v>6.3E-2</v>
      </c>
      <c r="AE101" s="2">
        <v>4.2000000000000003E-2</v>
      </c>
      <c r="AF101" s="2">
        <v>1.0374771105593705E-2</v>
      </c>
      <c r="AG101" s="2">
        <v>0.01</v>
      </c>
      <c r="AH101" s="2">
        <v>9.0000000000000011E-3</v>
      </c>
      <c r="AI101" s="2">
        <v>2.4E-2</v>
      </c>
      <c r="AJ101" s="2">
        <v>3.7000000000000005E-2</v>
      </c>
      <c r="AK101" s="2">
        <v>0.14599999999999999</v>
      </c>
      <c r="AL101" s="2">
        <v>0.161</v>
      </c>
      <c r="AM101" s="2">
        <v>4.2999999999999997E-2</v>
      </c>
      <c r="AN101" s="2">
        <v>5.0477533088850501E-2</v>
      </c>
    </row>
    <row r="102" spans="1:40" x14ac:dyDescent="0.25">
      <c r="A102" s="40">
        <f>EDATE(A101,3)</f>
        <v>45809</v>
      </c>
      <c r="B102" s="2">
        <v>4.4999999999999998E-2</v>
      </c>
      <c r="C102" s="2">
        <v>4.9000000000000002E-2</v>
      </c>
      <c r="D102" s="2">
        <v>-5.2999999999999999E-2</v>
      </c>
      <c r="E102" s="2">
        <v>-5.5E-2</v>
      </c>
      <c r="F102" s="2">
        <v>5.2000000000000005E-2</v>
      </c>
      <c r="G102" s="2">
        <v>7.8E-2</v>
      </c>
      <c r="H102" s="2">
        <v>6.4215069700725991E-2</v>
      </c>
      <c r="I102" s="2">
        <v>8.1023662693294085E-2</v>
      </c>
      <c r="J102" s="2">
        <v>4.2000000000000003E-2</v>
      </c>
      <c r="K102" s="2">
        <v>8.8000000000000009E-2</v>
      </c>
      <c r="L102" s="2">
        <v>9.6000000000000002E-2</v>
      </c>
      <c r="M102" s="2">
        <v>0.04</v>
      </c>
      <c r="N102" s="2">
        <v>0.09</v>
      </c>
      <c r="O102" s="2">
        <v>0.11</v>
      </c>
      <c r="P102" s="2">
        <v>9.9000000000000005E-2</v>
      </c>
      <c r="Q102" s="2">
        <v>2.2000000000000002E-2</v>
      </c>
      <c r="R102" s="2">
        <v>5.0999999999999997E-2</v>
      </c>
      <c r="S102" s="2">
        <v>4.2999999999999997E-2</v>
      </c>
      <c r="T102" s="2">
        <v>0.02</v>
      </c>
      <c r="U102" s="2">
        <v>0.05</v>
      </c>
      <c r="V102" s="2">
        <v>0.13</v>
      </c>
      <c r="W102" s="2">
        <v>9.6999999999999989E-2</v>
      </c>
      <c r="X102" s="2">
        <v>3.4000000000000002E-2</v>
      </c>
      <c r="Y102" s="47">
        <v>3.9764633524315363E-2</v>
      </c>
      <c r="Z102" s="2">
        <v>4.4008885922554919E-2</v>
      </c>
      <c r="AA102" s="2">
        <v>6.7000000000000004E-2</v>
      </c>
      <c r="AB102" s="2">
        <v>8.5999999999999993E-2</v>
      </c>
      <c r="AC102" s="2">
        <v>3.2000000000000001E-2</v>
      </c>
      <c r="AD102" s="2">
        <v>0.05</v>
      </c>
      <c r="AE102" s="2">
        <v>2.3E-2</v>
      </c>
      <c r="AF102" s="2">
        <v>3.0882931030359995E-2</v>
      </c>
      <c r="AG102" s="2">
        <v>2.8999999999999998E-2</v>
      </c>
      <c r="AH102" s="2">
        <v>3.4000000000000002E-2</v>
      </c>
      <c r="AI102" s="2">
        <v>3.2000000000000001E-2</v>
      </c>
      <c r="AJ102" s="2">
        <v>0.03</v>
      </c>
      <c r="AK102" s="2">
        <v>0.31</v>
      </c>
      <c r="AL102" s="2">
        <v>0.187</v>
      </c>
      <c r="AM102" s="2">
        <v>3.9E-2</v>
      </c>
      <c r="AN102" s="47">
        <v>5.2661734471064037E-2</v>
      </c>
    </row>
    <row r="103" spans="1:40" x14ac:dyDescent="0.25">
      <c r="A103" s="40">
        <f>EDATE(A102,3)</f>
        <v>45901</v>
      </c>
      <c r="B103" s="2">
        <v>3.7999999999999999E-2</v>
      </c>
      <c r="C103" s="2">
        <v>4.8000000000000001E-2</v>
      </c>
      <c r="D103" s="2">
        <v>2.8999999999999998E-2</v>
      </c>
      <c r="E103" s="2">
        <v>2.8999999999999998E-2</v>
      </c>
      <c r="F103" s="2">
        <v>3.2000000000000001E-2</v>
      </c>
      <c r="G103" s="2">
        <v>1E-3</v>
      </c>
      <c r="H103" s="2">
        <v>3.9092503650053123E-2</v>
      </c>
      <c r="I103" s="2">
        <v>4.6883803331384977E-2</v>
      </c>
      <c r="J103" s="2">
        <v>2.8999999999999998E-2</v>
      </c>
      <c r="K103" s="2">
        <v>1.9E-2</v>
      </c>
      <c r="L103" s="2">
        <v>3.5000000000000003E-2</v>
      </c>
      <c r="M103" s="2">
        <v>9.1999999999999998E-2</v>
      </c>
      <c r="N103" s="2">
        <v>-3.2000000000000001E-2</v>
      </c>
      <c r="O103" s="2">
        <v>6.9000000000000006E-2</v>
      </c>
      <c r="P103" s="2">
        <v>8.5000000000000006E-2</v>
      </c>
      <c r="Q103" s="2">
        <v>3.2000000000000001E-2</v>
      </c>
      <c r="R103" s="2">
        <v>-1.7000000000000001E-2</v>
      </c>
      <c r="S103" s="2">
        <v>-0.01</v>
      </c>
      <c r="T103" s="2">
        <v>1.1000000000000001E-2</v>
      </c>
      <c r="U103" s="2">
        <v>1.3000000000000001E-2</v>
      </c>
      <c r="V103" s="2">
        <v>7.2999999999999995E-2</v>
      </c>
      <c r="W103" s="2">
        <v>7.0999999999999994E-2</v>
      </c>
      <c r="X103" s="2">
        <v>3.6000000000000004E-2</v>
      </c>
      <c r="Y103" s="2">
        <v>3.6969579580784506E-2</v>
      </c>
      <c r="Z103" s="2">
        <v>4.142168916933775E-2</v>
      </c>
      <c r="AA103" s="2">
        <v>4.4999999999999998E-2</v>
      </c>
      <c r="AB103" s="2">
        <v>6.0999999999999999E-2</v>
      </c>
      <c r="AC103" s="2">
        <v>3.7999999999999999E-2</v>
      </c>
      <c r="AD103" s="2">
        <v>0.05</v>
      </c>
      <c r="AE103" s="2">
        <v>3.3000000000000002E-2</v>
      </c>
      <c r="AF103" s="2">
        <v>2.9602453893948555E-2</v>
      </c>
      <c r="AG103" s="2">
        <v>2.6000000000000002E-2</v>
      </c>
      <c r="AH103" s="2">
        <v>3.6000000000000004E-2</v>
      </c>
      <c r="AI103" s="2">
        <v>0.03</v>
      </c>
      <c r="AJ103" s="2">
        <v>3.4000000000000002E-2</v>
      </c>
      <c r="AK103" s="2">
        <v>0.14499999999999999</v>
      </c>
      <c r="AL103" s="2">
        <v>0.11800000000000001</v>
      </c>
      <c r="AM103" s="2">
        <v>3.7999999999999999E-2</v>
      </c>
      <c r="AN103" s="47">
        <v>3.9147550055203428E-2</v>
      </c>
    </row>
    <row r="104" spans="1:40" x14ac:dyDescent="0.25">
      <c r="A104" s="40">
        <f>EDATE(A103,3)</f>
        <v>45992</v>
      </c>
      <c r="B104" s="2">
        <v>4.0999999999999995E-2</v>
      </c>
      <c r="C104" s="2">
        <v>5.2999999999999999E-2</v>
      </c>
      <c r="D104" s="2">
        <v>-3.7000000000000005E-2</v>
      </c>
      <c r="E104" s="2">
        <v>-3.9E-2</v>
      </c>
      <c r="F104" s="2">
        <v>6.3E-2</v>
      </c>
      <c r="G104" s="2">
        <v>2.7000000000000003E-2</v>
      </c>
      <c r="H104" s="2">
        <v>4.9158012731423728E-2</v>
      </c>
      <c r="I104" s="2">
        <v>6.1983190141119415E-2</v>
      </c>
      <c r="J104" s="2">
        <v>3.1E-2</v>
      </c>
      <c r="K104" s="2">
        <v>7.9000000000000001E-2</v>
      </c>
      <c r="L104" s="2">
        <v>6.5000000000000002E-2</v>
      </c>
      <c r="M104" s="2">
        <v>7.0999999999999994E-2</v>
      </c>
      <c r="N104" s="2">
        <v>9.0000000000000011E-3</v>
      </c>
      <c r="O104" s="2">
        <v>0.08</v>
      </c>
      <c r="P104" s="2">
        <v>6.7000000000000004E-2</v>
      </c>
      <c r="Q104" s="2">
        <v>1.7000000000000001E-2</v>
      </c>
      <c r="R104" s="2">
        <v>9.0000000000000011E-3</v>
      </c>
      <c r="S104" s="2">
        <v>3.1E-2</v>
      </c>
      <c r="T104" s="2">
        <v>4.0999999999999995E-2</v>
      </c>
      <c r="U104" s="2">
        <v>0.03</v>
      </c>
      <c r="V104" s="2">
        <v>0.09</v>
      </c>
      <c r="W104" s="2">
        <v>5.7999999999999996E-2</v>
      </c>
      <c r="X104" s="2">
        <v>3.9E-2</v>
      </c>
      <c r="Y104" s="2">
        <v>4.2610206751009683E-2</v>
      </c>
      <c r="Z104" s="2">
        <v>4.7813880190460178E-2</v>
      </c>
      <c r="AA104" s="2">
        <v>5.2999999999999999E-2</v>
      </c>
      <c r="AB104" s="2">
        <v>5.9000000000000004E-2</v>
      </c>
      <c r="AC104" s="2">
        <v>3.4000000000000002E-2</v>
      </c>
      <c r="AD104" s="2">
        <v>5.0999999999999997E-2</v>
      </c>
      <c r="AE104" s="2">
        <v>5.4000000000000006E-2</v>
      </c>
      <c r="AF104" s="2">
        <v>3.0065776087921492E-2</v>
      </c>
      <c r="AG104" s="2">
        <v>3.3000000000000002E-2</v>
      </c>
      <c r="AH104" s="2">
        <v>2.5000000000000001E-2</v>
      </c>
      <c r="AI104" s="2">
        <v>3.1E-2</v>
      </c>
      <c r="AJ104" s="2">
        <v>3.1E-2</v>
      </c>
      <c r="AK104" s="2">
        <v>0.185</v>
      </c>
      <c r="AL104" s="2">
        <v>5.4000000000000006E-2</v>
      </c>
      <c r="AM104" s="2">
        <v>3.3000000000000002E-2</v>
      </c>
      <c r="AN104" s="47">
        <v>4.3526608220337826E-2</v>
      </c>
    </row>
    <row r="105" spans="1:40" x14ac:dyDescent="0.25">
      <c r="AF105" s="2"/>
    </row>
    <row r="106" spans="1:40" x14ac:dyDescent="0.25">
      <c r="AF106" s="2"/>
    </row>
    <row r="107" spans="1:40" x14ac:dyDescent="0.25">
      <c r="AF107" s="2"/>
    </row>
    <row r="108" spans="1:40" x14ac:dyDescent="0.25">
      <c r="AF108" s="2"/>
    </row>
    <row r="109" spans="1:40" x14ac:dyDescent="0.25">
      <c r="AF109" s="2"/>
    </row>
    <row r="110" spans="1:40" x14ac:dyDescent="0.25">
      <c r="AF110" s="2"/>
    </row>
    <row r="111" spans="1:40" x14ac:dyDescent="0.25">
      <c r="AF111" s="2"/>
    </row>
    <row r="112" spans="1:40" x14ac:dyDescent="0.25">
      <c r="AF112" s="2"/>
    </row>
    <row r="113" spans="32:32" x14ac:dyDescent="0.25">
      <c r="AF113" s="2"/>
    </row>
    <row r="114" spans="32:32" x14ac:dyDescent="0.25">
      <c r="AF114" s="2"/>
    </row>
    <row r="115" spans="32:32" x14ac:dyDescent="0.25">
      <c r="AF115" s="2"/>
    </row>
    <row r="116" spans="32:32" x14ac:dyDescent="0.25">
      <c r="AF116" s="2"/>
    </row>
    <row r="117" spans="32:32" x14ac:dyDescent="0.25">
      <c r="AF117" s="2"/>
    </row>
    <row r="118" spans="32:32" x14ac:dyDescent="0.25">
      <c r="AF118" s="2"/>
    </row>
    <row r="119" spans="32:32" x14ac:dyDescent="0.25">
      <c r="AF119" s="2"/>
    </row>
    <row r="120" spans="32:32" x14ac:dyDescent="0.25">
      <c r="AF120" s="2"/>
    </row>
    <row r="121" spans="32:32" x14ac:dyDescent="0.25">
      <c r="AF121" s="2"/>
    </row>
    <row r="122" spans="32:32" x14ac:dyDescent="0.25">
      <c r="AF122" s="2"/>
    </row>
    <row r="123" spans="32:32" x14ac:dyDescent="0.25">
      <c r="AF123" s="2"/>
    </row>
    <row r="124" spans="32:32" x14ac:dyDescent="0.25">
      <c r="AF124" s="2"/>
    </row>
    <row r="125" spans="32:32" x14ac:dyDescent="0.25">
      <c r="AF125" s="2"/>
    </row>
    <row r="126" spans="32:32" x14ac:dyDescent="0.25">
      <c r="AF126" s="2"/>
    </row>
    <row r="127" spans="32:32" x14ac:dyDescent="0.25">
      <c r="AF127" s="2"/>
    </row>
    <row r="128" spans="32:32" x14ac:dyDescent="0.25">
      <c r="AF12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104"/>
  <sheetViews>
    <sheetView topLeftCell="A2" workbookViewId="0">
      <pane xSplit="1" ySplit="3" topLeftCell="B75" activePane="bottomRight" state="frozen"/>
      <selection activeCell="A2" sqref="A2"/>
      <selection pane="topRight" activeCell="B2" sqref="B2"/>
      <selection pane="bottomLeft" activeCell="A5" sqref="A5"/>
      <selection pane="bottomRight" activeCell="E85" sqref="E85"/>
    </sheetView>
  </sheetViews>
  <sheetFormatPr baseColWidth="10" defaultRowHeight="15" x14ac:dyDescent="0.25"/>
  <cols>
    <col min="2" max="2" width="34.28515625" bestFit="1" customWidth="1"/>
    <col min="3" max="3" width="19.42578125" bestFit="1" customWidth="1"/>
    <col min="4" max="4" width="28.42578125" bestFit="1" customWidth="1"/>
    <col min="5" max="5" width="21.85546875" bestFit="1" customWidth="1"/>
    <col min="6" max="6" width="26.5703125" bestFit="1" customWidth="1"/>
    <col min="7" max="7" width="44.42578125" bestFit="1" customWidth="1"/>
    <col min="8" max="9" width="44.42578125" customWidth="1"/>
    <col min="10" max="10" width="13.140625" bestFit="1" customWidth="1"/>
    <col min="11" max="11" width="51.7109375" bestFit="1" customWidth="1"/>
    <col min="12" max="12" width="22.85546875" bestFit="1" customWidth="1"/>
    <col min="13" max="13" width="30.28515625" bestFit="1" customWidth="1"/>
    <col min="14" max="14" width="20.28515625" bestFit="1" customWidth="1"/>
    <col min="15" max="15" width="47.28515625" bestFit="1" customWidth="1"/>
    <col min="16" max="16" width="23.7109375" bestFit="1" customWidth="1"/>
    <col min="17" max="17" width="10.28515625" bestFit="1" customWidth="1"/>
    <col min="18" max="18" width="22" bestFit="1" customWidth="1"/>
    <col min="19" max="19" width="39.42578125" bestFit="1" customWidth="1"/>
    <col min="20" max="20" width="21.7109375" bestFit="1" customWidth="1"/>
    <col min="21" max="21" width="25" bestFit="1" customWidth="1"/>
    <col min="22" max="22" width="27.7109375" bestFit="1" customWidth="1"/>
    <col min="23" max="23" width="47" bestFit="1" customWidth="1"/>
    <col min="24" max="24" width="22.5703125" bestFit="1" customWidth="1"/>
    <col min="25" max="25" width="22.5703125" customWidth="1"/>
    <col min="26" max="26" width="26.5703125" bestFit="1" customWidth="1"/>
  </cols>
  <sheetData>
    <row r="2" spans="1:40" x14ac:dyDescent="0.25">
      <c r="G2" s="4" t="s">
        <v>5</v>
      </c>
      <c r="H2" s="4"/>
      <c r="I2" s="4"/>
    </row>
    <row r="4" spans="1:40" s="14" customFormat="1" ht="78" customHeight="1" x14ac:dyDescent="0.25">
      <c r="A4" s="12" t="s">
        <v>0</v>
      </c>
      <c r="B4" s="11" t="s">
        <v>24</v>
      </c>
      <c r="C4" s="11" t="s">
        <v>8</v>
      </c>
      <c r="D4" s="16" t="s">
        <v>42</v>
      </c>
      <c r="E4" s="17" t="s">
        <v>25</v>
      </c>
      <c r="F4" s="17" t="s">
        <v>26</v>
      </c>
      <c r="G4" s="22" t="s">
        <v>43</v>
      </c>
      <c r="H4" s="43" t="s">
        <v>45</v>
      </c>
      <c r="I4" s="43" t="s">
        <v>46</v>
      </c>
      <c r="J4" s="13" t="s">
        <v>27</v>
      </c>
      <c r="K4" s="13" t="s">
        <v>28</v>
      </c>
      <c r="L4" s="13" t="s">
        <v>29</v>
      </c>
      <c r="M4" s="13" t="s">
        <v>30</v>
      </c>
      <c r="N4" s="13" t="s">
        <v>31</v>
      </c>
      <c r="O4" s="13" t="s">
        <v>32</v>
      </c>
      <c r="P4" s="13" t="s">
        <v>33</v>
      </c>
      <c r="Q4" s="13" t="s">
        <v>34</v>
      </c>
      <c r="R4" s="13" t="s">
        <v>35</v>
      </c>
      <c r="S4" s="13" t="s">
        <v>36</v>
      </c>
      <c r="T4" s="13" t="s">
        <v>37</v>
      </c>
      <c r="U4" s="13" t="s">
        <v>38</v>
      </c>
      <c r="V4" s="13" t="s">
        <v>39</v>
      </c>
      <c r="W4" s="11" t="s">
        <v>20</v>
      </c>
      <c r="X4" s="11" t="s">
        <v>9</v>
      </c>
      <c r="Y4" s="44" t="s">
        <v>47</v>
      </c>
      <c r="Z4" s="18" t="s">
        <v>10</v>
      </c>
      <c r="AA4" s="19" t="s">
        <v>21</v>
      </c>
      <c r="AB4" s="15" t="s">
        <v>11</v>
      </c>
      <c r="AC4" s="15" t="s">
        <v>22</v>
      </c>
      <c r="AD4" s="15" t="s">
        <v>12</v>
      </c>
      <c r="AE4" s="15" t="s">
        <v>23</v>
      </c>
      <c r="AF4" s="20" t="s">
        <v>13</v>
      </c>
      <c r="AG4" s="7" t="s">
        <v>14</v>
      </c>
      <c r="AH4" s="7" t="s">
        <v>40</v>
      </c>
      <c r="AI4" s="7" t="s">
        <v>41</v>
      </c>
      <c r="AJ4" s="21" t="s">
        <v>19</v>
      </c>
      <c r="AK4" s="11" t="s">
        <v>15</v>
      </c>
      <c r="AL4" s="11" t="s">
        <v>16</v>
      </c>
      <c r="AM4" s="21" t="s">
        <v>17</v>
      </c>
      <c r="AN4" s="21" t="s">
        <v>18</v>
      </c>
    </row>
    <row r="5" spans="1:40" x14ac:dyDescent="0.25">
      <c r="A5" s="1">
        <v>36951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 x14ac:dyDescent="0.25">
      <c r="A6" s="1">
        <f>EDATE(A5,3)</f>
        <v>37043</v>
      </c>
      <c r="B6" s="10">
        <v>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 x14ac:dyDescent="0.25">
      <c r="A7" s="1">
        <f t="shared" ref="A7:A70" si="0">EDATE(A6,3)</f>
        <v>37135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 x14ac:dyDescent="0.25">
      <c r="A8" s="1">
        <f t="shared" si="0"/>
        <v>37226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 spans="1:40" x14ac:dyDescent="0.25">
      <c r="A9" s="1">
        <f t="shared" si="0"/>
        <v>37316</v>
      </c>
      <c r="B9" s="10">
        <v>0.14259615277192883</v>
      </c>
      <c r="C9" s="10">
        <v>-0.12540098111290043</v>
      </c>
      <c r="D9" s="10">
        <v>-0.15708611842528186</v>
      </c>
      <c r="E9" s="10">
        <v>-0.15813765204874375</v>
      </c>
      <c r="F9" s="10">
        <v>3.7642275801950786E-2</v>
      </c>
      <c r="G9" s="10">
        <v>-0.20550334705176054</v>
      </c>
      <c r="H9" s="10">
        <v>-0.12636535827668594</v>
      </c>
      <c r="I9" s="10">
        <v>-0.10738263390043312</v>
      </c>
      <c r="J9" s="10">
        <v>-0.16770388960842109</v>
      </c>
      <c r="K9" s="10">
        <v>-0.31659210918425829</v>
      </c>
      <c r="L9" s="10">
        <v>-0.22086034247570918</v>
      </c>
      <c r="M9" s="10">
        <v>1.8266743505809035E-2</v>
      </c>
      <c r="N9" s="10">
        <v>-0.33827860227376294</v>
      </c>
      <c r="O9" s="10">
        <v>-0.10321421787898633</v>
      </c>
      <c r="P9" s="10">
        <v>1.7345877684564082E-2</v>
      </c>
      <c r="Q9" s="10">
        <v>-0.14209088314270457</v>
      </c>
      <c r="R9" s="10">
        <v>0.26182230958650132</v>
      </c>
      <c r="S9" s="10">
        <v>0.21978306741198694</v>
      </c>
      <c r="T9" s="10">
        <v>8.1783500023036027E-3</v>
      </c>
      <c r="U9" s="10">
        <v>-0.17200340993789776</v>
      </c>
      <c r="V9" s="10">
        <v>0.1312074104946257</v>
      </c>
      <c r="W9" s="10">
        <v>-1.5678741427236464E-2</v>
      </c>
      <c r="X9" s="10">
        <v>2.7202968835394525E-2</v>
      </c>
      <c r="Y9" s="10">
        <v>3.6674036464715787E-2</v>
      </c>
      <c r="Z9" s="10">
        <v>1.3315497359399853E-2</v>
      </c>
      <c r="AA9" s="10">
        <v>-1.9293876108996133E-2</v>
      </c>
      <c r="AB9" s="10">
        <v>2.2129568209527051E-2</v>
      </c>
      <c r="AC9" s="2">
        <v>3.2915309377391955E-2</v>
      </c>
      <c r="AD9" s="2">
        <v>-9.5796232581231933E-2</v>
      </c>
      <c r="AE9" s="2">
        <v>4.6960898610758139E-2</v>
      </c>
      <c r="AF9" s="2">
        <v>0.10127743849652937</v>
      </c>
      <c r="AG9" s="2">
        <v>9.3629001014128299E-2</v>
      </c>
      <c r="AH9" s="2">
        <v>0.13619526545132032</v>
      </c>
      <c r="AI9" s="2">
        <v>-1.2153043305632716E-3</v>
      </c>
      <c r="AJ9" s="2">
        <v>-3.104753118838377E-2</v>
      </c>
      <c r="AK9" s="2">
        <v>-8.9624940501597639E-2</v>
      </c>
      <c r="AL9" s="2">
        <v>1.9417085685588198E-2</v>
      </c>
      <c r="AM9" s="2">
        <v>-2.9895495274529171E-2</v>
      </c>
      <c r="AN9" s="2">
        <v>9.2694139176885404E-3</v>
      </c>
    </row>
    <row r="10" spans="1:40" x14ac:dyDescent="0.25">
      <c r="A10" s="1">
        <f t="shared" si="0"/>
        <v>37408</v>
      </c>
      <c r="B10" s="10">
        <v>8.681727404813433E-2</v>
      </c>
      <c r="C10" s="10">
        <v>-0.14385703508563674</v>
      </c>
      <c r="D10" s="10">
        <v>-9.6656579989742086E-2</v>
      </c>
      <c r="E10" s="10">
        <v>-9.7525699625773288E-2</v>
      </c>
      <c r="F10" s="10">
        <v>3.9363180077396809E-2</v>
      </c>
      <c r="G10" s="10">
        <v>-0.15650094064578157</v>
      </c>
      <c r="H10" s="10">
        <v>-3.5425325233823246E-3</v>
      </c>
      <c r="I10" s="10">
        <v>3.6285526048971395E-2</v>
      </c>
      <c r="J10" s="10">
        <v>-7.7903612774441022E-2</v>
      </c>
      <c r="K10" s="10">
        <v>0.17940036825654726</v>
      </c>
      <c r="L10" s="10">
        <v>-9.5568637513836818E-2</v>
      </c>
      <c r="M10" s="10">
        <v>5.5262987407336928E-2</v>
      </c>
      <c r="N10" s="10">
        <v>-0.33621741404567618</v>
      </c>
      <c r="O10" s="10">
        <v>7.6568837176396176E-3</v>
      </c>
      <c r="P10" s="10">
        <v>0.13190134274471621</v>
      </c>
      <c r="Q10" s="10">
        <v>-0.2225124726916432</v>
      </c>
      <c r="R10" s="10">
        <v>-1.6419728850439186E-2</v>
      </c>
      <c r="S10" s="10">
        <v>0.21198179758260904</v>
      </c>
      <c r="T10" s="10">
        <v>5.9655413839343252E-2</v>
      </c>
      <c r="U10" s="10">
        <v>-0.19136341940098667</v>
      </c>
      <c r="V10" s="10">
        <v>-4.2785265247254123E-2</v>
      </c>
      <c r="W10" s="10">
        <v>-2.1878342574800369E-2</v>
      </c>
      <c r="X10" s="10">
        <v>0.13511939357855529</v>
      </c>
      <c r="Y10" s="10">
        <v>9.792308689353435E-3</v>
      </c>
      <c r="Z10" s="10">
        <v>-8.8732233070536459E-3</v>
      </c>
      <c r="AA10" s="10">
        <v>-3.4603038238410488E-2</v>
      </c>
      <c r="AB10" s="10">
        <v>-4.2448159554608456E-2</v>
      </c>
      <c r="AC10" s="2">
        <v>-1.2250359399425093E-2</v>
      </c>
      <c r="AD10" s="2">
        <v>-0.11665664274638765</v>
      </c>
      <c r="AE10" s="2">
        <v>5.6405314350932878E-2</v>
      </c>
      <c r="AF10" s="2">
        <v>5.046830057103513E-2</v>
      </c>
      <c r="AG10" s="2">
        <v>3.2390076241132659E-2</v>
      </c>
      <c r="AH10" s="2">
        <v>9.0440151882106301E-2</v>
      </c>
      <c r="AI10" s="2">
        <v>-5.7739867352804009E-3</v>
      </c>
      <c r="AJ10" s="2">
        <v>-1.9119519958492703E-2</v>
      </c>
      <c r="AK10" s="2">
        <v>-0.11481442808399844</v>
      </c>
      <c r="AL10" s="2">
        <v>1.0102059799066199E-2</v>
      </c>
      <c r="AM10" s="2">
        <v>-2.0439468646207049E-2</v>
      </c>
      <c r="AN10" s="2">
        <v>2.021232104541193E-3</v>
      </c>
    </row>
    <row r="11" spans="1:40" x14ac:dyDescent="0.25">
      <c r="A11" s="1">
        <f t="shared" si="0"/>
        <v>37500</v>
      </c>
      <c r="B11" s="10">
        <v>-0.11947827422160029</v>
      </c>
      <c r="C11" s="10">
        <v>-0.11616285131558435</v>
      </c>
      <c r="D11" s="10">
        <v>0.11531153818365647</v>
      </c>
      <c r="E11" s="10">
        <v>0.11693280890138924</v>
      </c>
      <c r="F11" s="10">
        <v>-3.1918256349061092E-2</v>
      </c>
      <c r="G11" s="10">
        <v>-6.5490069592727296E-2</v>
      </c>
      <c r="H11" s="10">
        <v>3.7172514499577369E-2</v>
      </c>
      <c r="I11" s="10">
        <v>4.6356052853032903E-2</v>
      </c>
      <c r="J11" s="10">
        <v>1.8894476989085529E-2</v>
      </c>
      <c r="K11" s="10">
        <v>0.20680848492260639</v>
      </c>
      <c r="L11" s="10">
        <v>0.4387988212780527</v>
      </c>
      <c r="M11" s="10">
        <v>7.6304766677309788E-2</v>
      </c>
      <c r="N11" s="10">
        <v>-0.19434164823371813</v>
      </c>
      <c r="O11" s="10">
        <v>7.1871828791189474E-2</v>
      </c>
      <c r="P11" s="10">
        <v>-3.5681457934777505E-2</v>
      </c>
      <c r="Q11" s="10">
        <v>-0.18715838982560573</v>
      </c>
      <c r="R11" s="10">
        <v>4.0442095189356708E-2</v>
      </c>
      <c r="S11" s="10">
        <v>0.20251991173765571</v>
      </c>
      <c r="T11" s="10">
        <v>1.8144704947919754E-2</v>
      </c>
      <c r="U11" s="10">
        <v>-0.16917760584558328</v>
      </c>
      <c r="V11" s="10">
        <v>1.4890188564980145E-2</v>
      </c>
      <c r="W11" s="10">
        <v>-4.5376589412445822E-3</v>
      </c>
      <c r="X11" s="10">
        <v>0.13001727554552489</v>
      </c>
      <c r="Y11" s="10">
        <v>1.5752392999548004E-2</v>
      </c>
      <c r="Z11" s="10">
        <v>-1.0644999003769362E-3</v>
      </c>
      <c r="AA11" s="10">
        <v>-4.8486396218112571E-3</v>
      </c>
      <c r="AB11" s="10">
        <v>-3.6354496484700904E-2</v>
      </c>
      <c r="AC11" s="2">
        <v>-2.9396468251442598E-2</v>
      </c>
      <c r="AD11" s="2">
        <v>-9.3526829658763577E-2</v>
      </c>
      <c r="AE11" s="2">
        <v>6.3784710048786941E-2</v>
      </c>
      <c r="AF11" s="2">
        <v>6.4163589039928803E-2</v>
      </c>
      <c r="AG11" s="2">
        <v>5.4184998784172489E-2</v>
      </c>
      <c r="AH11" s="2">
        <v>9.4165395171603716E-2</v>
      </c>
      <c r="AI11" s="2">
        <v>-9.9395654328504612E-4</v>
      </c>
      <c r="AJ11" s="2">
        <v>2.6992860268420404E-2</v>
      </c>
      <c r="AK11" s="2">
        <v>7.9412801106227171E-2</v>
      </c>
      <c r="AL11" s="2">
        <v>3.6509195141790185E-2</v>
      </c>
      <c r="AM11" s="2">
        <v>2.9075733209139809E-2</v>
      </c>
      <c r="AN11" s="2">
        <v>6.1216492826363655E-3</v>
      </c>
    </row>
    <row r="12" spans="1:40" x14ac:dyDescent="0.25">
      <c r="A12" s="1">
        <f t="shared" si="0"/>
        <v>37591</v>
      </c>
      <c r="B12" s="10">
        <v>-0.11468596589605706</v>
      </c>
      <c r="C12" s="10">
        <v>-4.9749500930076351E-2</v>
      </c>
      <c r="D12" s="10">
        <v>0.26397475141916282</v>
      </c>
      <c r="E12" s="10">
        <v>0.26566955347869636</v>
      </c>
      <c r="F12" s="10">
        <v>9.5460038572617645E-2</v>
      </c>
      <c r="G12" s="10">
        <v>0.10430312635453953</v>
      </c>
      <c r="H12" s="10">
        <v>-3.0950274688246182E-4</v>
      </c>
      <c r="I12" s="10">
        <v>1.6197372897314599E-2</v>
      </c>
      <c r="J12" s="10">
        <v>-3.18012106184975E-2</v>
      </c>
      <c r="K12" s="10">
        <v>6.5585802543412619E-2</v>
      </c>
      <c r="L12" s="10">
        <v>0.11166960245301261</v>
      </c>
      <c r="M12" s="10">
        <v>8.5404961029267312E-2</v>
      </c>
      <c r="N12" s="10">
        <v>0.28920434708019815</v>
      </c>
      <c r="O12" s="10">
        <v>9.8120465254141198E-2</v>
      </c>
      <c r="P12" s="10">
        <v>3.0710988593614097E-3</v>
      </c>
      <c r="Q12" s="10">
        <v>-0.16591551374702929</v>
      </c>
      <c r="R12" s="10">
        <v>-8.0428925183616218E-2</v>
      </c>
      <c r="S12" s="10">
        <v>0.17623764569700562</v>
      </c>
      <c r="T12" s="10">
        <v>1.3215427560757664E-3</v>
      </c>
      <c r="U12" s="10">
        <v>-7.3603811526319785E-2</v>
      </c>
      <c r="V12" s="10">
        <v>3.0166177694206375E-3</v>
      </c>
      <c r="W12" s="10">
        <v>1.2280979996089014E-2</v>
      </c>
      <c r="X12" s="10">
        <v>0.111809228087276</v>
      </c>
      <c r="Y12" s="10">
        <v>2.4491394099826369E-2</v>
      </c>
      <c r="Z12" s="10">
        <v>4.8901371272287886E-2</v>
      </c>
      <c r="AA12" s="10">
        <v>1.4724184831418796E-2</v>
      </c>
      <c r="AB12" s="10">
        <v>-7.4927350902396217E-2</v>
      </c>
      <c r="AC12" s="2">
        <v>9.8734608426535697E-2</v>
      </c>
      <c r="AD12" s="2">
        <v>-3.6243462965174444E-2</v>
      </c>
      <c r="AE12" s="2">
        <v>5.8090808292617035E-2</v>
      </c>
      <c r="AF12" s="2">
        <v>-4.0394350381053767E-2</v>
      </c>
      <c r="AG12" s="2">
        <v>-6.4810717566926579E-2</v>
      </c>
      <c r="AH12" s="2">
        <v>-1.3644167895516368E-2</v>
      </c>
      <c r="AI12" s="2">
        <v>5.5413250886930943E-3</v>
      </c>
      <c r="AJ12" s="2">
        <v>7.9693193405265594E-2</v>
      </c>
      <c r="AK12" s="2">
        <v>0.16980231374031973</v>
      </c>
      <c r="AL12" s="2">
        <v>6.0925739602030626E-2</v>
      </c>
      <c r="AM12" s="2">
        <v>8.1383334028426457E-2</v>
      </c>
      <c r="AN12" s="2">
        <v>3.0447595713671616E-2</v>
      </c>
    </row>
    <row r="13" spans="1:40" x14ac:dyDescent="0.25">
      <c r="A13" s="1">
        <f t="shared" si="0"/>
        <v>37681</v>
      </c>
      <c r="B13" s="10">
        <v>-8.5629544650292932E-2</v>
      </c>
      <c r="C13" s="10">
        <v>4.3479623840987358E-3</v>
      </c>
      <c r="D13" s="10">
        <v>0.39670019046672311</v>
      </c>
      <c r="E13" s="10">
        <v>0.39974223910439477</v>
      </c>
      <c r="F13" s="10">
        <v>1.1827405735086449E-2</v>
      </c>
      <c r="G13" s="10">
        <v>0.27831719418849232</v>
      </c>
      <c r="H13" s="10">
        <v>6.2599594437038553E-2</v>
      </c>
      <c r="I13" s="10">
        <v>6.5757509308225881E-2</v>
      </c>
      <c r="J13" s="10">
        <v>5.5489622087398605E-2</v>
      </c>
      <c r="K13" s="10">
        <v>9.0930845873863797E-2</v>
      </c>
      <c r="L13" s="10">
        <v>0.1450541814320141</v>
      </c>
      <c r="M13" s="10">
        <v>6.5607721277264552E-2</v>
      </c>
      <c r="N13" s="10">
        <v>0.79541173178830937</v>
      </c>
      <c r="O13" s="10">
        <v>0.12087486403870673</v>
      </c>
      <c r="P13" s="10">
        <v>7.8362257320993667E-2</v>
      </c>
      <c r="Q13" s="10">
        <v>-4.979608002471958E-2</v>
      </c>
      <c r="R13" s="10">
        <v>-2.0785370930202718E-2</v>
      </c>
      <c r="S13" s="10">
        <v>0.24642626777212207</v>
      </c>
      <c r="T13" s="10">
        <v>5.0625063133292292E-2</v>
      </c>
      <c r="U13" s="10">
        <v>8.1253636358955772E-2</v>
      </c>
      <c r="V13" s="10">
        <v>3.698244271205664E-2</v>
      </c>
      <c r="W13" s="10">
        <v>2.0197353142280994E-2</v>
      </c>
      <c r="X13" s="10">
        <v>0.16207793212568244</v>
      </c>
      <c r="Y13" s="10">
        <v>3.1904447362086863E-2</v>
      </c>
      <c r="Z13" s="10">
        <v>7.1485807316040706E-3</v>
      </c>
      <c r="AA13" s="10">
        <v>1.7113127987967935E-2</v>
      </c>
      <c r="AB13" s="10">
        <v>4.6979963327456353E-2</v>
      </c>
      <c r="AC13" s="2">
        <v>-4.8707851688755133E-2</v>
      </c>
      <c r="AD13" s="2">
        <v>5.0125341022266845E-3</v>
      </c>
      <c r="AE13" s="2">
        <v>6.0539770097850942E-2</v>
      </c>
      <c r="AF13" s="2">
        <v>9.5140346378784102E-2</v>
      </c>
      <c r="AG13" s="2">
        <v>0.10609855987271222</v>
      </c>
      <c r="AH13" s="2">
        <v>9.1715016996831267E-2</v>
      </c>
      <c r="AI13" s="2">
        <v>2.9907283041569421E-2</v>
      </c>
      <c r="AJ13" s="2">
        <v>0.13111782237471092</v>
      </c>
      <c r="AK13" s="2">
        <v>0.74769510697762276</v>
      </c>
      <c r="AL13" s="2">
        <v>-2.4254357262120885E-2</v>
      </c>
      <c r="AM13" s="2">
        <v>0.13062398302326139</v>
      </c>
      <c r="AN13" s="2">
        <v>5.718612619839436E-2</v>
      </c>
    </row>
    <row r="14" spans="1:40" x14ac:dyDescent="0.25">
      <c r="A14" s="1">
        <f t="shared" si="0"/>
        <v>37773</v>
      </c>
      <c r="B14" s="10">
        <v>-8.0160970954490374E-4</v>
      </c>
      <c r="C14" s="10">
        <v>2.6316441681972336E-2</v>
      </c>
      <c r="D14" s="10">
        <v>0.18406529142590711</v>
      </c>
      <c r="E14" s="10">
        <v>0.18547107309832667</v>
      </c>
      <c r="F14" s="10">
        <v>-1.0864217453138814E-2</v>
      </c>
      <c r="G14" s="10">
        <v>7.7084344255302417E-2</v>
      </c>
      <c r="H14" s="10">
        <v>1.4576009691232628E-2</v>
      </c>
      <c r="I14" s="10">
        <v>2.959173660447334E-2</v>
      </c>
      <c r="J14" s="10">
        <v>-1.8463282011756621E-2</v>
      </c>
      <c r="K14" s="10">
        <v>-0.1087187801545545</v>
      </c>
      <c r="L14" s="10">
        <v>0.31882688226138689</v>
      </c>
      <c r="M14" s="10">
        <v>0.10568786391467833</v>
      </c>
      <c r="N14" s="10">
        <v>0.16323795097174831</v>
      </c>
      <c r="O14" s="10">
        <v>0.11273758819597579</v>
      </c>
      <c r="P14" s="10">
        <v>-6.6262979702368274E-2</v>
      </c>
      <c r="Q14" s="10">
        <v>8.2869430326650839E-2</v>
      </c>
      <c r="R14" s="10">
        <v>0.21959087209495176</v>
      </c>
      <c r="S14" s="10">
        <v>0.18514625161791187</v>
      </c>
      <c r="T14" s="10">
        <v>7.1663795478266179E-2</v>
      </c>
      <c r="U14" s="10">
        <v>0.19081895391731596</v>
      </c>
      <c r="V14" s="10">
        <v>0.18324141364784174</v>
      </c>
      <c r="W14" s="10">
        <v>3.0777174387532025E-2</v>
      </c>
      <c r="X14" s="10">
        <v>6.0316631895786843E-2</v>
      </c>
      <c r="Y14" s="10">
        <v>1.3822486188914684E-2</v>
      </c>
      <c r="Z14" s="10">
        <v>3.7832634690436073E-2</v>
      </c>
      <c r="AA14" s="10">
        <v>3.5733978113751341E-2</v>
      </c>
      <c r="AB14" s="10">
        <v>0.13743652893673786</v>
      </c>
      <c r="AC14" s="2">
        <v>1.1202105179390243E-2</v>
      </c>
      <c r="AD14" s="2">
        <v>1.5980797889252552E-2</v>
      </c>
      <c r="AE14" s="2">
        <v>6.2584592785308146E-2</v>
      </c>
      <c r="AF14" s="2">
        <v>-3.8804427621405457E-2</v>
      </c>
      <c r="AG14" s="2">
        <v>-4.5145028270496268E-2</v>
      </c>
      <c r="AH14" s="2">
        <v>-4.1953525451707718E-2</v>
      </c>
      <c r="AI14" s="2">
        <v>4.0228113526233455E-2</v>
      </c>
      <c r="AJ14" s="2">
        <v>6.0702889612849864E-2</v>
      </c>
      <c r="AK14" s="2">
        <v>0.65710332264324345</v>
      </c>
      <c r="AL14" s="2">
        <v>9.4822331190282938E-3</v>
      </c>
      <c r="AM14" s="2">
        <v>6.886288420476272E-2</v>
      </c>
      <c r="AN14" s="2">
        <v>3.5875940860010669E-2</v>
      </c>
    </row>
    <row r="15" spans="1:40" x14ac:dyDescent="0.25">
      <c r="A15" s="1">
        <f t="shared" si="0"/>
        <v>37865</v>
      </c>
      <c r="B15" s="10">
        <v>0.1760469451909441</v>
      </c>
      <c r="C15" s="10">
        <v>2.380149822155353E-2</v>
      </c>
      <c r="D15" s="10">
        <v>0.10002526040148729</v>
      </c>
      <c r="E15" s="10">
        <v>0.10087531292812657</v>
      </c>
      <c r="F15" s="10">
        <v>7.9761143860594963E-2</v>
      </c>
      <c r="G15" s="10">
        <v>9.8980275053653477E-2</v>
      </c>
      <c r="H15" s="10">
        <v>3.9777987239780321E-2</v>
      </c>
      <c r="I15" s="10">
        <v>4.6728053451926987E-2</v>
      </c>
      <c r="J15" s="10">
        <v>2.5957874775499157E-2</v>
      </c>
      <c r="K15" s="10">
        <v>-4.1375782688674367E-2</v>
      </c>
      <c r="L15" s="10">
        <v>-0.13943841365417364</v>
      </c>
      <c r="M15" s="10">
        <v>6.9357920848496901E-2</v>
      </c>
      <c r="N15" s="10">
        <v>0.18104715814483385</v>
      </c>
      <c r="O15" s="10">
        <v>0.10050085787074736</v>
      </c>
      <c r="P15" s="10">
        <v>0.10807277583728503</v>
      </c>
      <c r="Q15" s="10">
        <v>5.404068957849173E-2</v>
      </c>
      <c r="R15" s="10">
        <v>3.9577435742829792E-2</v>
      </c>
      <c r="S15" s="10">
        <v>0.15237825276253836</v>
      </c>
      <c r="T15" s="10">
        <v>0.11380580256893924</v>
      </c>
      <c r="U15" s="10">
        <v>0.23233055905203548</v>
      </c>
      <c r="V15" s="10">
        <v>9.2523941315624914E-2</v>
      </c>
      <c r="W15" s="10">
        <v>5.5563267131245153E-2</v>
      </c>
      <c r="X15" s="10">
        <v>2.6806301750571304E-2</v>
      </c>
      <c r="Y15" s="10">
        <v>8.4744632849571788E-2</v>
      </c>
      <c r="Z15" s="10">
        <v>4.9181181265610219E-2</v>
      </c>
      <c r="AA15" s="10">
        <v>1.2962677396463285E-2</v>
      </c>
      <c r="AB15" s="10">
        <v>-1.1325055339976742E-2</v>
      </c>
      <c r="AC15" s="2">
        <v>8.8015728004855021E-2</v>
      </c>
      <c r="AD15" s="2">
        <v>6.278795385408209E-3</v>
      </c>
      <c r="AE15" s="2">
        <v>6.3349101217926806E-2</v>
      </c>
      <c r="AF15" s="2">
        <v>0.18129279160579914</v>
      </c>
      <c r="AG15" s="2">
        <v>0.22003990932595507</v>
      </c>
      <c r="AH15" s="2">
        <v>0.15236287012297578</v>
      </c>
      <c r="AI15" s="2">
        <v>6.0120585805873095E-2</v>
      </c>
      <c r="AJ15" s="2">
        <v>9.258129692109085E-2</v>
      </c>
      <c r="AK15" s="2">
        <v>-0.19494710192384612</v>
      </c>
      <c r="AL15" s="2">
        <v>7.6680556050216619E-2</v>
      </c>
      <c r="AM15" s="2">
        <v>8.2563493081116768E-2</v>
      </c>
      <c r="AN15" s="2">
        <v>7.6790379090291738E-2</v>
      </c>
    </row>
    <row r="16" spans="1:40" x14ac:dyDescent="0.25">
      <c r="A16" s="1">
        <f t="shared" si="0"/>
        <v>37956</v>
      </c>
      <c r="B16" s="10">
        <v>0.15578163699854031</v>
      </c>
      <c r="C16" s="10">
        <v>5.7894036645154134E-3</v>
      </c>
      <c r="D16" s="10">
        <v>4.203922379854319E-2</v>
      </c>
      <c r="E16" s="10">
        <v>4.2975577871614323E-2</v>
      </c>
      <c r="F16" s="10">
        <v>1.1752592543974316E-3</v>
      </c>
      <c r="G16" s="10">
        <v>5.2579820705023428E-2</v>
      </c>
      <c r="H16" s="10">
        <v>0.12306262593651951</v>
      </c>
      <c r="I16" s="10">
        <v>0.1930119404677666</v>
      </c>
      <c r="J16" s="10">
        <v>-4.2663505822362335E-3</v>
      </c>
      <c r="K16" s="10">
        <v>0.53953779648119604</v>
      </c>
      <c r="L16" s="10">
        <v>0.27862577475210459</v>
      </c>
      <c r="M16" s="10">
        <v>4.5452981185745589E-2</v>
      </c>
      <c r="N16" s="10">
        <v>-5.1855379414624925E-2</v>
      </c>
      <c r="O16" s="10">
        <v>8.8235128973935595E-2</v>
      </c>
      <c r="P16" s="10">
        <v>6.0571991401732417E-2</v>
      </c>
      <c r="Q16" s="10">
        <v>0.12400134113207528</v>
      </c>
      <c r="R16" s="10">
        <v>0.1422582334667013</v>
      </c>
      <c r="S16" s="10">
        <v>0.13616451527391504</v>
      </c>
      <c r="T16" s="10">
        <v>8.4201764651281374E-2</v>
      </c>
      <c r="U16" s="10">
        <v>0.16282842209836379</v>
      </c>
      <c r="V16" s="10">
        <v>0.12942203907720939</v>
      </c>
      <c r="W16" s="10">
        <v>5.0700196138847131E-2</v>
      </c>
      <c r="X16" s="10">
        <v>0.10929032581932741</v>
      </c>
      <c r="Y16" s="10">
        <v>0.12659013313064227</v>
      </c>
      <c r="Z16" s="10">
        <v>0.11190772356156664</v>
      </c>
      <c r="AA16" s="10">
        <v>2.753234772118951E-2</v>
      </c>
      <c r="AB16" s="10">
        <v>-0.10599862028839968</v>
      </c>
      <c r="AC16" s="2">
        <v>0.26952927308695052</v>
      </c>
      <c r="AD16" s="2">
        <v>-1.5894294272803755E-2</v>
      </c>
      <c r="AE16" s="2">
        <v>5.8281276245613745E-2</v>
      </c>
      <c r="AF16" s="2">
        <v>0.16916543679169194</v>
      </c>
      <c r="AG16" s="2">
        <v>0.20200768457407814</v>
      </c>
      <c r="AH16" s="2">
        <v>0.14446025544532781</v>
      </c>
      <c r="AI16" s="2">
        <v>7.3301042852340847E-2</v>
      </c>
      <c r="AJ16" s="2">
        <v>9.8127735388973569E-2</v>
      </c>
      <c r="AK16" s="2">
        <v>-0.32714973272166681</v>
      </c>
      <c r="AL16" s="2">
        <v>3.1827063568986791E-2</v>
      </c>
      <c r="AM16" s="2">
        <v>7.7675916763548569E-2</v>
      </c>
      <c r="AN16" s="2">
        <v>9.0382619418266641E-2</v>
      </c>
    </row>
    <row r="17" spans="1:40" x14ac:dyDescent="0.25">
      <c r="A17" s="1">
        <f t="shared" si="0"/>
        <v>38047</v>
      </c>
      <c r="B17" s="10">
        <v>0.16693109410315454</v>
      </c>
      <c r="C17" s="10">
        <v>-1.6356449823076935E-2</v>
      </c>
      <c r="D17" s="10">
        <v>9.0340293998771859E-3</v>
      </c>
      <c r="E17" s="10">
        <v>8.4520387227202676E-3</v>
      </c>
      <c r="F17" s="10">
        <v>4.1825911107225444E-2</v>
      </c>
      <c r="G17" s="10">
        <v>-3.8589484396043927E-2</v>
      </c>
      <c r="H17" s="10">
        <v>7.1640090195451922E-2</v>
      </c>
      <c r="I17" s="10">
        <v>5.9970974145184375E-2</v>
      </c>
      <c r="J17" s="10">
        <v>9.6610763050246629E-2</v>
      </c>
      <c r="K17" s="10">
        <v>7.8792095479686131E-2</v>
      </c>
      <c r="L17" s="10">
        <v>-5.7982494905971516E-3</v>
      </c>
      <c r="M17" s="10">
        <v>4.1013370726368237E-2</v>
      </c>
      <c r="N17" s="10">
        <v>-0.19308894808541111</v>
      </c>
      <c r="O17" s="10">
        <v>7.6659601713307879E-2</v>
      </c>
      <c r="P17" s="10">
        <v>4.3189702516504447E-2</v>
      </c>
      <c r="Q17" s="10">
        <v>9.546053419571221E-2</v>
      </c>
      <c r="R17" s="10">
        <v>3.8996274591200031E-2</v>
      </c>
      <c r="S17" s="10">
        <v>5.8476656356899248E-2</v>
      </c>
      <c r="T17" s="10">
        <v>0.11215400263021547</v>
      </c>
      <c r="U17" s="10">
        <v>6.013409771238587E-2</v>
      </c>
      <c r="V17" s="10">
        <v>3.2542437782789868E-2</v>
      </c>
      <c r="W17" s="10">
        <v>5.0636108950839809E-2</v>
      </c>
      <c r="X17" s="10">
        <v>1.6217923720710292E-2</v>
      </c>
      <c r="Y17" s="10">
        <v>8.9364646535350811E-2</v>
      </c>
      <c r="Z17" s="10">
        <v>0.12719626878353951</v>
      </c>
      <c r="AA17" s="10">
        <v>1.7369376345312437E-2</v>
      </c>
      <c r="AB17" s="10">
        <v>-0.10635389308025966</v>
      </c>
      <c r="AC17" s="2">
        <v>0.3464703126758848</v>
      </c>
      <c r="AD17" s="2">
        <v>-4.1703786213534433E-2</v>
      </c>
      <c r="AE17" s="2">
        <v>5.7793709892959511E-2</v>
      </c>
      <c r="AF17" s="2">
        <v>-3.0428433921385611E-3</v>
      </c>
      <c r="AG17" s="2">
        <v>-1.5053277101071183E-2</v>
      </c>
      <c r="AH17" s="2">
        <v>-2.2456333848785981E-5</v>
      </c>
      <c r="AI17" s="2">
        <v>7.6263026103444043E-2</v>
      </c>
      <c r="AJ17" s="2">
        <v>5.6350427548025994E-2</v>
      </c>
      <c r="AK17" s="2">
        <v>-0.3441014297875219</v>
      </c>
      <c r="AL17" s="2">
        <v>9.0023511344182516E-2</v>
      </c>
      <c r="AM17" s="2">
        <v>4.8901966895006588E-2</v>
      </c>
      <c r="AN17" s="2">
        <v>6.5248508988974496E-2</v>
      </c>
    </row>
    <row r="18" spans="1:40" x14ac:dyDescent="0.25">
      <c r="A18" s="1">
        <f t="shared" si="0"/>
        <v>38139</v>
      </c>
      <c r="B18" s="10">
        <v>0.11036576021569111</v>
      </c>
      <c r="C18" s="10">
        <v>-2.7047141594463864E-2</v>
      </c>
      <c r="D18" s="10">
        <v>0.21697910382043561</v>
      </c>
      <c r="E18" s="10">
        <v>0.2191254531432032</v>
      </c>
      <c r="F18" s="10">
        <v>3.1319155281212208E-2</v>
      </c>
      <c r="G18" s="10">
        <v>0.14375927311241732</v>
      </c>
      <c r="H18" s="10">
        <v>7.1313010611054661E-2</v>
      </c>
      <c r="I18" s="10">
        <v>5.5630649713996894E-2</v>
      </c>
      <c r="J18" s="10">
        <v>0.10558090738382364</v>
      </c>
      <c r="K18" s="10">
        <v>0.10555680945942036</v>
      </c>
      <c r="L18" s="10">
        <v>-0.11136940163050557</v>
      </c>
      <c r="M18" s="10">
        <v>-4.991167975297417E-2</v>
      </c>
      <c r="N18" s="10">
        <v>0.27555840607859983</v>
      </c>
      <c r="O18" s="10">
        <v>5.998160103228467E-2</v>
      </c>
      <c r="P18" s="10">
        <v>5.1205853539623369E-2</v>
      </c>
      <c r="Q18" s="10">
        <v>0.15529708561369171</v>
      </c>
      <c r="R18" s="10">
        <v>7.0347882724011379E-2</v>
      </c>
      <c r="S18" s="10">
        <v>8.9678152935830369E-3</v>
      </c>
      <c r="T18" s="10">
        <v>4.1805329284119175E-3</v>
      </c>
      <c r="U18" s="10">
        <v>-5.5628302777033234E-4</v>
      </c>
      <c r="V18" s="10">
        <v>5.1679191906558231E-2</v>
      </c>
      <c r="W18" s="10">
        <v>4.6674902357555892E-2</v>
      </c>
      <c r="X18" s="10">
        <v>0.12501945556600602</v>
      </c>
      <c r="Y18" s="10">
        <v>7.7458803870024795E-2</v>
      </c>
      <c r="Z18" s="10">
        <v>0.12039002689657785</v>
      </c>
      <c r="AA18" s="10">
        <v>2.797443955793022E-2</v>
      </c>
      <c r="AB18" s="10">
        <v>6.7637126280788218E-2</v>
      </c>
      <c r="AC18" s="2">
        <v>0.32957785232350889</v>
      </c>
      <c r="AD18" s="2">
        <v>-5.6407867997464112E-2</v>
      </c>
      <c r="AE18" s="2">
        <v>3.9732096140897122E-2</v>
      </c>
      <c r="AF18" s="2">
        <v>-2.827740838114623E-2</v>
      </c>
      <c r="AG18" s="2">
        <v>-4.7210704547148929E-2</v>
      </c>
      <c r="AH18" s="2">
        <v>-1.9145138278282459E-2</v>
      </c>
      <c r="AI18" s="2">
        <v>8.1866085626875584E-2</v>
      </c>
      <c r="AJ18" s="2">
        <v>0.12928875726281097</v>
      </c>
      <c r="AK18" s="2">
        <v>-0.29291861437625499</v>
      </c>
      <c r="AL18" s="2">
        <v>6.0234526987715586E-2</v>
      </c>
      <c r="AM18" s="2">
        <v>0.1140475783103001</v>
      </c>
      <c r="AN18" s="2">
        <v>8.0196906108100263E-2</v>
      </c>
    </row>
    <row r="19" spans="1:40" x14ac:dyDescent="0.25">
      <c r="A19" s="1">
        <f t="shared" si="0"/>
        <v>38231</v>
      </c>
      <c r="B19" s="10">
        <v>-5.3249249387804731E-2</v>
      </c>
      <c r="C19" s="10">
        <v>1.0579682611876029E-2</v>
      </c>
      <c r="D19" s="10">
        <v>0.32866762927259341</v>
      </c>
      <c r="E19" s="10">
        <v>0.33133182958752672</v>
      </c>
      <c r="F19" s="10">
        <v>-1.6409421555141468E-2</v>
      </c>
      <c r="G19" s="10">
        <v>0.21392473707503101</v>
      </c>
      <c r="H19" s="10">
        <v>2.6986831712957127E-2</v>
      </c>
      <c r="I19" s="10">
        <v>4.9716247565775529E-2</v>
      </c>
      <c r="J19" s="10">
        <v>-1.8118294766306775E-2</v>
      </c>
      <c r="K19" s="10">
        <v>-1.9861654841489162E-2</v>
      </c>
      <c r="L19" s="10">
        <v>0.17787169957343019</v>
      </c>
      <c r="M19" s="10">
        <v>3.3532525967443938E-2</v>
      </c>
      <c r="N19" s="10">
        <v>0.64374517577584633</v>
      </c>
      <c r="O19" s="10">
        <v>9.1247177368857679E-2</v>
      </c>
      <c r="P19" s="10">
        <v>0.1126886722390823</v>
      </c>
      <c r="Q19" s="10">
        <v>9.4634993493213582E-2</v>
      </c>
      <c r="R19" s="10">
        <v>0.10023386466682149</v>
      </c>
      <c r="S19" s="10">
        <v>-5.4463651432631321E-3</v>
      </c>
      <c r="T19" s="10">
        <v>1.2027057303708455E-2</v>
      </c>
      <c r="U19" s="10">
        <v>-2.2069990785989146E-2</v>
      </c>
      <c r="V19" s="10">
        <v>3.8790862763213418E-2</v>
      </c>
      <c r="W19" s="10">
        <v>6.0379745132076446E-2</v>
      </c>
      <c r="X19" s="10">
        <v>0.18659337465421255</v>
      </c>
      <c r="Y19" s="10">
        <v>0.11761651823833863</v>
      </c>
      <c r="Z19" s="10">
        <v>0.11122656485267468</v>
      </c>
      <c r="AA19" s="10">
        <v>4.6815852363608412E-2</v>
      </c>
      <c r="AB19" s="10">
        <v>-0.14236002329784192</v>
      </c>
      <c r="AC19" s="2">
        <v>0.28460583789878058</v>
      </c>
      <c r="AD19" s="2">
        <v>-2.6099159648801606E-2</v>
      </c>
      <c r="AE19" s="2">
        <v>2.846092975180059E-2</v>
      </c>
      <c r="AF19" s="2">
        <v>0.1322913666636516</v>
      </c>
      <c r="AG19" s="2">
        <v>0.14195521270004696</v>
      </c>
      <c r="AH19" s="2">
        <v>0.13024579557369176</v>
      </c>
      <c r="AI19" s="2">
        <v>6.9373743216909256E-2</v>
      </c>
      <c r="AJ19" s="2">
        <v>0.17903337876586956</v>
      </c>
      <c r="AK19" s="2">
        <v>0.33797140547073323</v>
      </c>
      <c r="AL19" s="2">
        <v>1.5615472422435772E-2</v>
      </c>
      <c r="AM19" s="2">
        <v>0.17399339099631184</v>
      </c>
      <c r="AN19" s="2">
        <v>0.11882354588122657</v>
      </c>
    </row>
    <row r="20" spans="1:40" x14ac:dyDescent="0.25">
      <c r="A20" s="1">
        <f t="shared" si="0"/>
        <v>38322</v>
      </c>
      <c r="B20" s="10">
        <v>-0.14979239252131937</v>
      </c>
      <c r="C20" s="10">
        <v>-3.0797577811265686E-3</v>
      </c>
      <c r="D20" s="10">
        <v>0.38889533688961619</v>
      </c>
      <c r="E20" s="10">
        <v>0.39068920082558867</v>
      </c>
      <c r="F20" s="10">
        <v>5.7711221213976316E-3</v>
      </c>
      <c r="G20" s="10">
        <v>0.2987930523353155</v>
      </c>
      <c r="H20" s="10">
        <v>3.8983670982355445E-2</v>
      </c>
      <c r="I20" s="10">
        <v>6.1015841781168367E-2</v>
      </c>
      <c r="J20" s="10">
        <v>-6.0032255531596856E-3</v>
      </c>
      <c r="K20" s="10">
        <v>3.6641727553869963E-3</v>
      </c>
      <c r="L20" s="10">
        <v>1.9067215995481446E-2</v>
      </c>
      <c r="M20" s="10">
        <v>0.10210930265213647</v>
      </c>
      <c r="N20" s="10">
        <v>0.89183489129889515</v>
      </c>
      <c r="O20" s="10">
        <v>0.13104165011824676</v>
      </c>
      <c r="P20" s="10">
        <v>0.17764739137128172</v>
      </c>
      <c r="Q20" s="10">
        <v>-2.2405845244686251E-2</v>
      </c>
      <c r="R20" s="10">
        <v>1.3293606855501627E-2</v>
      </c>
      <c r="S20" s="10">
        <v>4.7881437018717499E-3</v>
      </c>
      <c r="T20" s="10">
        <v>5.9614235043786712E-2</v>
      </c>
      <c r="U20" s="10">
        <v>9.3515678166000704E-3</v>
      </c>
      <c r="V20" s="10">
        <v>3.4574222803454457E-2</v>
      </c>
      <c r="W20" s="10">
        <v>6.2108831405446985E-2</v>
      </c>
      <c r="X20" s="10">
        <v>-1.5674680951764497E-2</v>
      </c>
      <c r="Y20" s="10">
        <v>8.9324931022081167E-3</v>
      </c>
      <c r="Z20" s="10">
        <v>-5.2507948500285062E-2</v>
      </c>
      <c r="AA20" s="10">
        <v>2.5438149873300508E-2</v>
      </c>
      <c r="AB20" s="10">
        <v>-0.37073980270215878</v>
      </c>
      <c r="AC20" s="2">
        <v>-0.14575437779256128</v>
      </c>
      <c r="AD20" s="2">
        <v>-3.8516665684559692E-2</v>
      </c>
      <c r="AE20" s="2">
        <v>1.0555195936515327E-2</v>
      </c>
      <c r="AF20" s="2">
        <v>0.18646397446817309</v>
      </c>
      <c r="AG20" s="2">
        <v>0.21559214546041439</v>
      </c>
      <c r="AH20" s="2">
        <v>0.18012527327619599</v>
      </c>
      <c r="AI20" s="2">
        <v>1.1932323023297942E-2</v>
      </c>
      <c r="AJ20" s="2">
        <v>0.12369748988887852</v>
      </c>
      <c r="AK20" s="2">
        <v>0.2932951990834658</v>
      </c>
      <c r="AL20" s="2">
        <v>-3.1116343066185603E-2</v>
      </c>
      <c r="AM20" s="2">
        <v>0.12174419269942893</v>
      </c>
      <c r="AN20" s="2">
        <v>2.8604072960024096E-2</v>
      </c>
    </row>
    <row r="21" spans="1:40" x14ac:dyDescent="0.25">
      <c r="A21" s="1">
        <f t="shared" si="0"/>
        <v>38412</v>
      </c>
      <c r="B21" s="10">
        <v>-0.1137388364880092</v>
      </c>
      <c r="C21" s="10">
        <v>2.1871059943942894E-2</v>
      </c>
      <c r="D21" s="10">
        <v>0.25179317102976051</v>
      </c>
      <c r="E21" s="10">
        <v>0.25396711020616825</v>
      </c>
      <c r="F21" s="10">
        <v>-5.0655154460258478E-3</v>
      </c>
      <c r="G21" s="10">
        <v>0.38541587106608999</v>
      </c>
      <c r="H21" s="10">
        <v>0.1115657642131318</v>
      </c>
      <c r="I21" s="10">
        <v>0.14895839166916969</v>
      </c>
      <c r="J21" s="10">
        <v>4.2727176212395745E-2</v>
      </c>
      <c r="K21" s="10">
        <v>0.20462692728572418</v>
      </c>
      <c r="L21" s="10">
        <v>0.26906389711608569</v>
      </c>
      <c r="M21" s="10">
        <v>0.20561380019967879</v>
      </c>
      <c r="N21" s="10">
        <v>1.2631474109292844</v>
      </c>
      <c r="O21" s="10">
        <v>0.17747109442760323</v>
      </c>
      <c r="P21" s="10">
        <v>8.1331012771836741E-2</v>
      </c>
      <c r="Q21" s="10">
        <v>5.0721117184949538E-2</v>
      </c>
      <c r="R21" s="10">
        <v>0.16462518842585783</v>
      </c>
      <c r="S21" s="10">
        <v>0.1783654167760127</v>
      </c>
      <c r="T21" s="10">
        <v>8.6108848983422748E-2</v>
      </c>
      <c r="U21" s="10">
        <v>9.5516091302371375E-2</v>
      </c>
      <c r="V21" s="10">
        <v>0.13645157189366053</v>
      </c>
      <c r="W21" s="10">
        <v>4.9998154820273921E-2</v>
      </c>
      <c r="X21" s="10">
        <v>9.5232251747537688E-2</v>
      </c>
      <c r="Y21" s="10">
        <v>0.11750161827314076</v>
      </c>
      <c r="Z21" s="10">
        <v>0.11727079183225042</v>
      </c>
      <c r="AA21" s="10">
        <v>7.7136576401486634E-2</v>
      </c>
      <c r="AB21" s="10">
        <v>0.17676225181591865</v>
      </c>
      <c r="AC21" s="2">
        <v>0.21758079217263449</v>
      </c>
      <c r="AD21" s="2">
        <v>-1.1424456411486372E-2</v>
      </c>
      <c r="AE21" s="2">
        <v>3.4368742687284737E-2</v>
      </c>
      <c r="AF21" s="2">
        <v>0.11535270455792879</v>
      </c>
      <c r="AG21" s="2">
        <v>0.13385300085752205</v>
      </c>
      <c r="AH21" s="2">
        <v>0.1070651464272605</v>
      </c>
      <c r="AI21" s="2">
        <v>2.3949212398753028E-2</v>
      </c>
      <c r="AJ21" s="2">
        <v>0.14936907130166954</v>
      </c>
      <c r="AK21" s="2">
        <v>8.9835551874295483E-4</v>
      </c>
      <c r="AL21" s="2">
        <v>-8.5868904497910847E-2</v>
      </c>
      <c r="AM21" s="2">
        <v>0.13180690559264274</v>
      </c>
      <c r="AN21" s="2">
        <v>8.5464822772180593E-2</v>
      </c>
    </row>
    <row r="22" spans="1:40" x14ac:dyDescent="0.25">
      <c r="A22" s="1">
        <f t="shared" si="0"/>
        <v>38504</v>
      </c>
      <c r="B22" s="10">
        <v>-9.1471927599565239E-2</v>
      </c>
      <c r="C22" s="10">
        <v>0.12222645203118887</v>
      </c>
      <c r="D22" s="10">
        <v>0.19308385684883378</v>
      </c>
      <c r="E22" s="10">
        <v>0.19345986779719726</v>
      </c>
      <c r="F22" s="10">
        <v>-1.1701282099751187E-2</v>
      </c>
      <c r="G22" s="10">
        <v>0.42367721167126215</v>
      </c>
      <c r="H22" s="10">
        <v>9.6917875734838121E-2</v>
      </c>
      <c r="I22" s="10">
        <v>0.13976300838275879</v>
      </c>
      <c r="J22" s="10">
        <v>1.7621967181757903E-2</v>
      </c>
      <c r="K22" s="10">
        <v>9.4934392556314195E-2</v>
      </c>
      <c r="L22" s="10">
        <v>0.16349518349028513</v>
      </c>
      <c r="M22" s="10">
        <v>0.2806245562629035</v>
      </c>
      <c r="N22" s="10">
        <v>1.280587589903937</v>
      </c>
      <c r="O22" s="10">
        <v>0.21026535065647778</v>
      </c>
      <c r="P22" s="10">
        <v>0.17027776369545111</v>
      </c>
      <c r="Q22" s="10">
        <v>-3.9770645472303023E-2</v>
      </c>
      <c r="R22" s="10">
        <v>8.6264373227664004E-2</v>
      </c>
      <c r="S22" s="10">
        <v>0.12735676562885345</v>
      </c>
      <c r="T22" s="10">
        <v>0.13146732931989336</v>
      </c>
      <c r="U22" s="10">
        <v>0.12704083425053692</v>
      </c>
      <c r="V22" s="10">
        <v>0.1720298031498162</v>
      </c>
      <c r="W22" s="10">
        <v>6.3902905136342891E-2</v>
      </c>
      <c r="X22" s="10">
        <v>-0.11236113534355963</v>
      </c>
      <c r="Y22" s="10">
        <v>8.4258703666477475E-2</v>
      </c>
      <c r="Z22" s="10">
        <v>9.6786943472773057E-2</v>
      </c>
      <c r="AA22" s="10">
        <v>3.7790753092864948E-2</v>
      </c>
      <c r="AB22" s="10">
        <v>-9.2319615713652214E-2</v>
      </c>
      <c r="AC22" s="2">
        <v>0.18392571407311453</v>
      </c>
      <c r="AD22" s="2">
        <v>8.3372873163614969E-2</v>
      </c>
      <c r="AE22" s="2">
        <v>5.377634765524042E-2</v>
      </c>
      <c r="AF22" s="2">
        <v>4.6948440718973528E-2</v>
      </c>
      <c r="AG22" s="2">
        <v>5.7167264673924079E-2</v>
      </c>
      <c r="AH22" s="2">
        <v>4.1759685986052952E-2</v>
      </c>
      <c r="AI22" s="2">
        <v>-1.9942407186561706E-3</v>
      </c>
      <c r="AJ22" s="2">
        <v>0.110588223004775</v>
      </c>
      <c r="AK22" s="2">
        <v>6.1306580706207203E-2</v>
      </c>
      <c r="AL22" s="2">
        <v>-6.4220442134619971E-2</v>
      </c>
      <c r="AM22" s="2">
        <v>0.10011261019633766</v>
      </c>
      <c r="AN22" s="2">
        <v>6.0207614097647078E-2</v>
      </c>
    </row>
    <row r="23" spans="1:40" x14ac:dyDescent="0.25">
      <c r="A23" s="1">
        <f t="shared" si="0"/>
        <v>38596</v>
      </c>
      <c r="B23" s="10">
        <v>3.3418364217448371E-2</v>
      </c>
      <c r="C23" s="10">
        <v>0.1474178862138511</v>
      </c>
      <c r="D23" s="10">
        <v>0.22321878766688052</v>
      </c>
      <c r="E23" s="10">
        <v>0.22430249035439731</v>
      </c>
      <c r="F23" s="10">
        <v>-3.7644036154875771E-2</v>
      </c>
      <c r="G23" s="10">
        <v>0.44770122521328082</v>
      </c>
      <c r="H23" s="10">
        <v>0.11857901276329819</v>
      </c>
      <c r="I23" s="10">
        <v>0.14375514869294381</v>
      </c>
      <c r="J23" s="10">
        <v>7.0691089037842936E-2</v>
      </c>
      <c r="K23" s="10">
        <v>0.18388359982701141</v>
      </c>
      <c r="L23" s="10">
        <v>4.3636398462132853E-2</v>
      </c>
      <c r="M23" s="10">
        <v>0.22285112303299903</v>
      </c>
      <c r="N23" s="10">
        <v>1.2949517516339357</v>
      </c>
      <c r="O23" s="10">
        <v>0.20561353941480021</v>
      </c>
      <c r="P23" s="10">
        <v>5.8716945969852441E-2</v>
      </c>
      <c r="Q23" s="10">
        <v>-3.3741007783007704E-2</v>
      </c>
      <c r="R23" s="10">
        <v>0.14300296406160151</v>
      </c>
      <c r="S23" s="10">
        <v>0.1583743748950257</v>
      </c>
      <c r="T23" s="10">
        <v>0.10212787714990146</v>
      </c>
      <c r="U23" s="10">
        <v>0.15016391071011514</v>
      </c>
      <c r="V23" s="10">
        <v>0.23037556458147779</v>
      </c>
      <c r="W23" s="10">
        <v>5.9292666805765837E-2</v>
      </c>
      <c r="X23" s="10">
        <v>-0.1126295299081943</v>
      </c>
      <c r="Y23" s="10">
        <v>6.687250802892386E-2</v>
      </c>
      <c r="Z23" s="10">
        <v>8.9997744056510065E-2</v>
      </c>
      <c r="AA23" s="10">
        <v>1.4601161058056089E-2</v>
      </c>
      <c r="AB23" s="10">
        <v>0.18215224101202421</v>
      </c>
      <c r="AC23" s="2">
        <v>0.16316369671632525</v>
      </c>
      <c r="AD23" s="2">
        <v>0.11690264621128432</v>
      </c>
      <c r="AE23" s="2">
        <v>5.9349425456236782E-2</v>
      </c>
      <c r="AF23" s="2">
        <v>3.3478546422576194E-3</v>
      </c>
      <c r="AG23" s="2">
        <v>5.8593587017496951E-3</v>
      </c>
      <c r="AH23" s="2">
        <v>9.5741614273348041E-4</v>
      </c>
      <c r="AI23" s="2">
        <v>-3.9467431058669566E-3</v>
      </c>
      <c r="AJ23" s="2">
        <v>0.12726018255587879</v>
      </c>
      <c r="AK23" s="2">
        <v>-2.781944153911653E-2</v>
      </c>
      <c r="AL23" s="2">
        <v>-9.0470281622184845E-2</v>
      </c>
      <c r="AM23" s="2">
        <v>0.11181373699491637</v>
      </c>
      <c r="AN23" s="2">
        <v>6.3648420794490734E-2</v>
      </c>
    </row>
    <row r="24" spans="1:40" x14ac:dyDescent="0.25">
      <c r="A24" s="1">
        <f t="shared" si="0"/>
        <v>38687</v>
      </c>
      <c r="B24" s="10">
        <v>0.16146334946645458</v>
      </c>
      <c r="C24" s="10">
        <v>0.19883805927846843</v>
      </c>
      <c r="D24" s="10">
        <v>0.22777027327959076</v>
      </c>
      <c r="E24" s="10">
        <v>0.22962177773902859</v>
      </c>
      <c r="F24" s="10">
        <v>-0.10547237656284614</v>
      </c>
      <c r="G24" s="10">
        <v>0.31235592494432263</v>
      </c>
      <c r="H24" s="10">
        <v>8.4728545037769942E-2</v>
      </c>
      <c r="I24" s="10">
        <v>8.2939630438217504E-2</v>
      </c>
      <c r="J24" s="10">
        <v>8.8471957158472003E-2</v>
      </c>
      <c r="K24" s="10">
        <v>4.162924795257239E-2</v>
      </c>
      <c r="L24" s="10">
        <v>5.3683688257244899E-2</v>
      </c>
      <c r="M24" s="10">
        <v>0.17311922929602463</v>
      </c>
      <c r="N24" s="10">
        <v>0.72224499159159294</v>
      </c>
      <c r="O24" s="10">
        <v>0.1647621281267837</v>
      </c>
      <c r="P24" s="10">
        <v>-7.0965777799489982E-2</v>
      </c>
      <c r="Q24" s="10">
        <v>0.10912347569270797</v>
      </c>
      <c r="R24" s="10">
        <v>0.2106848950294804</v>
      </c>
      <c r="S24" s="10">
        <v>9.9486503556031503E-2</v>
      </c>
      <c r="T24" s="10">
        <v>0.10879170132531724</v>
      </c>
      <c r="U24" s="10">
        <v>0.11386638749989464</v>
      </c>
      <c r="V24" s="10">
        <v>0.22092518031457287</v>
      </c>
      <c r="W24" s="10">
        <v>6.1441164830021711E-2</v>
      </c>
      <c r="X24" s="10">
        <v>8.4704148253204048E-2</v>
      </c>
      <c r="Y24" s="10">
        <v>4.1790333759492038E-2</v>
      </c>
      <c r="Z24" s="10">
        <v>7.5958906166631923E-2</v>
      </c>
      <c r="AA24" s="10">
        <v>-4.4341338523382623E-3</v>
      </c>
      <c r="AB24" s="10">
        <v>0.83189484183369955</v>
      </c>
      <c r="AC24" s="2">
        <v>9.7719376043176043E-2</v>
      </c>
      <c r="AD24" s="2">
        <v>0.1770314838524143</v>
      </c>
      <c r="AE24" s="2">
        <v>7.5058833160442706E-2</v>
      </c>
      <c r="AF24" s="2">
        <v>-4.3247429721799735E-2</v>
      </c>
      <c r="AG24" s="2">
        <v>-5.3341400636543357E-2</v>
      </c>
      <c r="AH24" s="2">
        <v>-4.2936882600167925E-2</v>
      </c>
      <c r="AI24" s="2">
        <v>3.9842647966843003E-2</v>
      </c>
      <c r="AJ24" s="2">
        <v>0.13268592238341381</v>
      </c>
      <c r="AK24" s="2">
        <v>0.16641507394053812</v>
      </c>
      <c r="AL24" s="2">
        <v>0.4743952449501363</v>
      </c>
      <c r="AM24" s="2">
        <v>0.15092976533460534</v>
      </c>
      <c r="AN24" s="2">
        <v>0.11285956393972696</v>
      </c>
    </row>
    <row r="25" spans="1:40" x14ac:dyDescent="0.25">
      <c r="A25" s="1">
        <f t="shared" si="0"/>
        <v>38777</v>
      </c>
      <c r="B25" s="10">
        <v>6.1687123061908711E-2</v>
      </c>
      <c r="C25" s="10">
        <v>0.23602806433478607</v>
      </c>
      <c r="D25" s="10">
        <v>0.33344881258852421</v>
      </c>
      <c r="E25" s="10">
        <v>0.33518228491061519</v>
      </c>
      <c r="F25" s="10">
        <v>-8.6879393816937101E-2</v>
      </c>
      <c r="G25" s="10">
        <v>0.31410260807038437</v>
      </c>
      <c r="H25" s="10">
        <v>6.3978257789125692E-2</v>
      </c>
      <c r="I25" s="10">
        <v>5.671760429714312E-2</v>
      </c>
      <c r="J25" s="10">
        <v>7.8451599175473952E-2</v>
      </c>
      <c r="K25" s="10">
        <v>5.4141251430681381E-2</v>
      </c>
      <c r="L25" s="10">
        <v>-2.4091523267783188E-2</v>
      </c>
      <c r="M25" s="10">
        <v>6.8167805006822846E-2</v>
      </c>
      <c r="N25" s="10">
        <v>0.6426149972819708</v>
      </c>
      <c r="O25" s="10">
        <v>9.2454315313283075E-2</v>
      </c>
      <c r="P25" s="10">
        <v>2.3458836098907865E-2</v>
      </c>
      <c r="Q25" s="10">
        <v>0.11663412548956176</v>
      </c>
      <c r="R25" s="10">
        <v>5.5713350224980918E-2</v>
      </c>
      <c r="S25" s="10">
        <v>3.3645398722468522E-2</v>
      </c>
      <c r="T25" s="10">
        <v>2.9912822922230298E-2</v>
      </c>
      <c r="U25" s="10">
        <v>4.2245417092615867E-2</v>
      </c>
      <c r="V25" s="10">
        <v>6.4558460936305018E-2</v>
      </c>
      <c r="W25" s="10">
        <v>9.2195619619023672E-2</v>
      </c>
      <c r="X25" s="10">
        <v>-1.2195004217212424E-2</v>
      </c>
      <c r="Y25" s="10">
        <v>9.6469131630749771E-4</v>
      </c>
      <c r="Z25" s="10">
        <v>2.6649416594069608E-2</v>
      </c>
      <c r="AA25" s="10">
        <v>-4.4193634479977595E-3</v>
      </c>
      <c r="AB25" s="10">
        <v>-8.5599502421082385E-2</v>
      </c>
      <c r="AC25" s="2">
        <v>4.988242815099353E-3</v>
      </c>
      <c r="AD25" s="2">
        <v>0.23182693499735962</v>
      </c>
      <c r="AE25" s="2">
        <v>5.4667105167358621E-2</v>
      </c>
      <c r="AF25" s="2">
        <v>-7.5003225284685393E-2</v>
      </c>
      <c r="AG25" s="2">
        <v>-9.141400144310563E-2</v>
      </c>
      <c r="AH25" s="2">
        <v>-6.7191665729334993E-2</v>
      </c>
      <c r="AI25" s="2">
        <v>1.5177590600047974E-2</v>
      </c>
      <c r="AJ25" s="2">
        <v>0.13236926399740634</v>
      </c>
      <c r="AK25" s="2">
        <v>0.1006207191134354</v>
      </c>
      <c r="AL25" s="2">
        <v>0.15682468106058134</v>
      </c>
      <c r="AM25" s="2">
        <v>0.13330553953791568</v>
      </c>
      <c r="AN25" s="2">
        <v>4.9774181765217973E-2</v>
      </c>
    </row>
    <row r="26" spans="1:40" x14ac:dyDescent="0.25">
      <c r="A26" s="1">
        <f t="shared" si="0"/>
        <v>38869</v>
      </c>
      <c r="B26" s="10">
        <v>2.3504904592708264E-3</v>
      </c>
      <c r="C26" s="10">
        <v>0.28295551128080598</v>
      </c>
      <c r="D26" s="10">
        <v>0.36774838897841455</v>
      </c>
      <c r="E26" s="10">
        <v>0.36909438621550694</v>
      </c>
      <c r="F26" s="10">
        <v>-1.0595758929612176E-2</v>
      </c>
      <c r="G26" s="10">
        <v>0.14364751364957495</v>
      </c>
      <c r="H26" s="10">
        <v>5.7757800294280237E-2</v>
      </c>
      <c r="I26" s="10">
        <v>3.9633041223594567E-2</v>
      </c>
      <c r="J26" s="10">
        <v>9.5216144214740117E-2</v>
      </c>
      <c r="K26" s="10">
        <v>7.8447429220258824E-2</v>
      </c>
      <c r="L26" s="10">
        <v>-1.7395011429304219E-3</v>
      </c>
      <c r="M26" s="10">
        <v>3.1394111708306305E-2</v>
      </c>
      <c r="N26" s="10">
        <v>0.29528958642083381</v>
      </c>
      <c r="O26" s="10">
        <v>4.8414244197355627E-2</v>
      </c>
      <c r="P26" s="10">
        <v>6.5889341867308993E-3</v>
      </c>
      <c r="Q26" s="10">
        <v>0.18546673067632446</v>
      </c>
      <c r="R26" s="10">
        <v>6.1044946350712337E-2</v>
      </c>
      <c r="S26" s="10">
        <v>0.10676927256890334</v>
      </c>
      <c r="T26" s="10">
        <v>1.2092244953850306E-2</v>
      </c>
      <c r="U26" s="10">
        <v>1.5014045020016908E-2</v>
      </c>
      <c r="V26" s="10">
        <v>-5.4160159612214542E-2</v>
      </c>
      <c r="W26" s="10">
        <v>0.10062800941351258</v>
      </c>
      <c r="X26" s="10">
        <v>0.15519882220773074</v>
      </c>
      <c r="Y26" s="10">
        <v>5.7285139375213401E-2</v>
      </c>
      <c r="Z26" s="10">
        <v>4.0429005067132096E-2</v>
      </c>
      <c r="AA26" s="10">
        <v>2.2298158945018409E-2</v>
      </c>
      <c r="AB26" s="10">
        <v>-6.3051135943866909E-2</v>
      </c>
      <c r="AC26" s="2">
        <v>7.8346348410858191E-3</v>
      </c>
      <c r="AD26" s="2">
        <v>0.28716216633731384</v>
      </c>
      <c r="AE26" s="2">
        <v>4.3239797214492448E-2</v>
      </c>
      <c r="AF26" s="2">
        <v>0.1079306388086767</v>
      </c>
      <c r="AG26" s="2">
        <v>0.12059231523168989</v>
      </c>
      <c r="AH26" s="2">
        <v>0.10245307685783844</v>
      </c>
      <c r="AI26" s="2">
        <v>3.5187699711694886E-2</v>
      </c>
      <c r="AJ26" s="2">
        <v>0.16141470504817468</v>
      </c>
      <c r="AK26" s="2">
        <v>1.125103443407971E-2</v>
      </c>
      <c r="AL26" s="2">
        <v>0.22379649179033034</v>
      </c>
      <c r="AM26" s="2">
        <v>0.16071530793898492</v>
      </c>
      <c r="AN26" s="2">
        <v>7.1927609360151967E-2</v>
      </c>
    </row>
    <row r="27" spans="1:40" x14ac:dyDescent="0.25">
      <c r="A27" s="1">
        <f t="shared" si="0"/>
        <v>38961</v>
      </c>
      <c r="B27" s="10">
        <v>8.7123411608863721E-2</v>
      </c>
      <c r="C27" s="10">
        <v>0.29372218704006103</v>
      </c>
      <c r="D27" s="10">
        <v>0.2291095429388752</v>
      </c>
      <c r="E27" s="10">
        <v>0.22945532734650054</v>
      </c>
      <c r="F27" s="10">
        <v>6.5709936345216935E-2</v>
      </c>
      <c r="G27" s="10">
        <v>7.0853417688361064E-2</v>
      </c>
      <c r="H27" s="10">
        <v>5.2946627081079445E-2</v>
      </c>
      <c r="I27" s="10">
        <v>3.0496733700066336E-2</v>
      </c>
      <c r="J27" s="10">
        <v>9.9461371349025773E-2</v>
      </c>
      <c r="K27" s="10">
        <v>8.520824053855236E-3</v>
      </c>
      <c r="L27" s="10">
        <v>4.5736727147222656E-2</v>
      </c>
      <c r="M27" s="10">
        <v>7.1308611630673813E-3</v>
      </c>
      <c r="N27" s="10">
        <v>3.3633309104295517E-2</v>
      </c>
      <c r="O27" s="10">
        <v>2.7556711181950355E-2</v>
      </c>
      <c r="P27" s="10">
        <v>1.0224204039819051E-2</v>
      </c>
      <c r="Q27" s="10">
        <v>0.2233031146061466</v>
      </c>
      <c r="R27" s="10">
        <v>0.15555250452798197</v>
      </c>
      <c r="S27" s="10">
        <v>1.568582157256726E-2</v>
      </c>
      <c r="T27" s="10">
        <v>-1.9325821597108606E-2</v>
      </c>
      <c r="U27" s="10">
        <v>-1.095048277471744E-2</v>
      </c>
      <c r="V27" s="10">
        <v>5.4643085385548407E-3</v>
      </c>
      <c r="W27" s="10">
        <v>4.4348243246245422E-2</v>
      </c>
      <c r="X27" s="10">
        <v>0.20907697944496428</v>
      </c>
      <c r="Y27" s="10">
        <v>2.7369487696050854E-2</v>
      </c>
      <c r="Z27" s="10">
        <v>4.9024451980005601E-2</v>
      </c>
      <c r="AA27" s="10">
        <v>6.1219412101924497E-2</v>
      </c>
      <c r="AB27" s="10">
        <v>-4.5582594774916663E-2</v>
      </c>
      <c r="AC27" s="2">
        <v>-7.2311377220464212E-3</v>
      </c>
      <c r="AD27" s="2">
        <v>0.2978327064004751</v>
      </c>
      <c r="AE27" s="2">
        <v>4.2352277204886546E-2</v>
      </c>
      <c r="AF27" s="2">
        <v>-3.3626646344540267E-2</v>
      </c>
      <c r="AG27" s="2">
        <v>-4.7190668059850838E-2</v>
      </c>
      <c r="AH27" s="2">
        <v>-2.6529542110083182E-2</v>
      </c>
      <c r="AI27" s="2">
        <v>3.9860683589319823E-2</v>
      </c>
      <c r="AJ27" s="2">
        <v>0.10843843156035615</v>
      </c>
      <c r="AK27" s="2">
        <v>8.6111535059651745E-2</v>
      </c>
      <c r="AL27" s="2">
        <v>0.21511612779575229</v>
      </c>
      <c r="AM27" s="2">
        <v>0.11345861796764933</v>
      </c>
      <c r="AN27" s="2">
        <v>6.2730302092228074E-2</v>
      </c>
    </row>
    <row r="28" spans="1:40" x14ac:dyDescent="0.25">
      <c r="A28" s="1">
        <f t="shared" si="0"/>
        <v>39052</v>
      </c>
      <c r="B28" s="10">
        <v>-7.3239793740979442E-2</v>
      </c>
      <c r="C28" s="10">
        <v>0.30326454919570556</v>
      </c>
      <c r="D28" s="10">
        <v>5.3346450657660638E-2</v>
      </c>
      <c r="E28" s="10">
        <v>5.321186100002695E-2</v>
      </c>
      <c r="F28" s="10">
        <v>6.5670986522769814E-2</v>
      </c>
      <c r="G28" s="10">
        <v>-7.5134210571266014E-2</v>
      </c>
      <c r="H28" s="10">
        <v>4.2147234054401794E-2</v>
      </c>
      <c r="I28" s="10">
        <v>2.6558570375095236E-2</v>
      </c>
      <c r="J28" s="10">
        <v>7.5297300284886903E-2</v>
      </c>
      <c r="K28" s="10">
        <v>-7.4400870402263175E-2</v>
      </c>
      <c r="L28" s="10">
        <v>2.6044509573476038E-2</v>
      </c>
      <c r="M28" s="10">
        <v>-1.0935552968624584E-2</v>
      </c>
      <c r="N28" s="10">
        <v>-0.14306692596939874</v>
      </c>
      <c r="O28" s="10">
        <v>3.2855252130139512E-3</v>
      </c>
      <c r="P28" s="10">
        <v>4.0673726257989262E-2</v>
      </c>
      <c r="Q28" s="10">
        <v>0.47749293250911062</v>
      </c>
      <c r="R28" s="10">
        <v>0.15275174805581315</v>
      </c>
      <c r="S28" s="10">
        <v>-8.5455607194737437E-2</v>
      </c>
      <c r="T28" s="10">
        <v>5.0227489180671103E-2</v>
      </c>
      <c r="U28" s="10">
        <v>7.418687305487337E-3</v>
      </c>
      <c r="V28" s="10">
        <v>1.0578825710331641E-2</v>
      </c>
      <c r="W28" s="10">
        <v>0.1132872492009056</v>
      </c>
      <c r="X28" s="10">
        <v>0.1410743695820047</v>
      </c>
      <c r="Y28" s="10">
        <v>0.10409907794257367</v>
      </c>
      <c r="Z28" s="10">
        <v>8.1388080915842931E-2</v>
      </c>
      <c r="AA28" s="10">
        <v>0.1070783454948554</v>
      </c>
      <c r="AB28" s="10">
        <v>1.3364001762639965E-2</v>
      </c>
      <c r="AC28" s="2">
        <v>2.9146768493577779E-2</v>
      </c>
      <c r="AD28" s="2">
        <v>0.29971062408706439</v>
      </c>
      <c r="AE28" s="2">
        <v>4.371115285586713E-2</v>
      </c>
      <c r="AF28" s="2">
        <v>0.16628136044193886</v>
      </c>
      <c r="AG28" s="2">
        <v>0.18584253496202563</v>
      </c>
      <c r="AH28" s="2">
        <v>0.15800403366027926</v>
      </c>
      <c r="AI28" s="2">
        <v>5.583623075360622E-2</v>
      </c>
      <c r="AJ28" s="2">
        <v>5.1168528008109782E-2</v>
      </c>
      <c r="AK28" s="2">
        <v>5.7908410191095383E-2</v>
      </c>
      <c r="AL28" s="2">
        <v>-0.26400560228493786</v>
      </c>
      <c r="AM28" s="2">
        <v>3.1477212887280226E-2</v>
      </c>
      <c r="AN28" s="2">
        <v>2.0614183710952139E-2</v>
      </c>
    </row>
    <row r="29" spans="1:40" x14ac:dyDescent="0.25">
      <c r="A29" s="1">
        <f t="shared" si="0"/>
        <v>39142</v>
      </c>
      <c r="B29" s="10">
        <v>1.7866809393202399E-2</v>
      </c>
      <c r="C29" s="10">
        <v>0.34022655565201476</v>
      </c>
      <c r="D29" s="10">
        <v>-3.1742140912479067E-2</v>
      </c>
      <c r="E29" s="10">
        <v>-3.2976531022314903E-2</v>
      </c>
      <c r="F29" s="10">
        <v>0.31397476541176017</v>
      </c>
      <c r="G29" s="10">
        <v>-9.4165400756926476E-2</v>
      </c>
      <c r="H29" s="10">
        <v>2.2893956775235091E-2</v>
      </c>
      <c r="I29" s="10">
        <v>1.6245731081474313E-2</v>
      </c>
      <c r="J29" s="10">
        <v>3.6002869372204538E-2</v>
      </c>
      <c r="K29" s="10">
        <v>-5.2850556555833261E-2</v>
      </c>
      <c r="L29" s="10">
        <v>3.8923677528909462E-2</v>
      </c>
      <c r="M29" s="10">
        <v>2.2036788402831631E-2</v>
      </c>
      <c r="N29" s="10">
        <v>-0.24212553340414511</v>
      </c>
      <c r="O29" s="10">
        <v>7.2516649509852815E-3</v>
      </c>
      <c r="P29" s="10">
        <v>7.4228853079427726E-3</v>
      </c>
      <c r="Q29" s="10">
        <v>0.16697069492766592</v>
      </c>
      <c r="R29" s="10">
        <v>0.16224715171327819</v>
      </c>
      <c r="S29" s="10">
        <v>-8.3982060260340163E-2</v>
      </c>
      <c r="T29" s="10">
        <v>4.9791367488018823E-2</v>
      </c>
      <c r="U29" s="10">
        <v>5.1489869187363313E-2</v>
      </c>
      <c r="V29" s="10">
        <v>5.6775908141974973E-3</v>
      </c>
      <c r="W29" s="10">
        <v>7.0879995112243632E-2</v>
      </c>
      <c r="X29" s="10">
        <v>0.18642876516589357</v>
      </c>
      <c r="Y29" s="10">
        <v>7.2589857973510918E-2</v>
      </c>
      <c r="Z29" s="10">
        <v>7.0286116473311289E-2</v>
      </c>
      <c r="AA29" s="10">
        <v>6.4293275142427664E-2</v>
      </c>
      <c r="AB29" s="10">
        <v>2.451914467081262E-2</v>
      </c>
      <c r="AC29" s="2">
        <v>4.6339146387861296E-2</v>
      </c>
      <c r="AD29" s="2">
        <v>0.31999796984954942</v>
      </c>
      <c r="AE29" s="2">
        <v>2.4221789812555183E-2</v>
      </c>
      <c r="AF29" s="2">
        <v>7.9501575680630099E-2</v>
      </c>
      <c r="AG29" s="2">
        <v>8.4148336621300501E-2</v>
      </c>
      <c r="AH29" s="2">
        <v>7.8220213933944072E-2</v>
      </c>
      <c r="AI29" s="2">
        <v>5.2455383081533746E-2</v>
      </c>
      <c r="AJ29" s="2">
        <v>1.8586788442985336E-2</v>
      </c>
      <c r="AK29" s="2">
        <v>1.215934098795679E-2</v>
      </c>
      <c r="AL29" s="2">
        <v>6.1444434779486024E-2</v>
      </c>
      <c r="AM29" s="2">
        <v>2.0498434216842609E-2</v>
      </c>
      <c r="AN29" s="2">
        <v>4.6057681364612968E-2</v>
      </c>
    </row>
    <row r="30" spans="1:40" x14ac:dyDescent="0.25">
      <c r="A30" s="1">
        <f t="shared" si="0"/>
        <v>39234</v>
      </c>
      <c r="B30" s="10">
        <v>8.7764155793743637E-2</v>
      </c>
      <c r="C30" s="10">
        <v>0.36011784639260269</v>
      </c>
      <c r="D30" s="10">
        <v>-4.4024951825362146E-3</v>
      </c>
      <c r="E30" s="10">
        <v>-4.9116705114213843E-3</v>
      </c>
      <c r="F30" s="10">
        <v>0.12932183439513789</v>
      </c>
      <c r="G30" s="10">
        <v>8.8179047979257685E-2</v>
      </c>
      <c r="H30" s="10">
        <v>1.8338936304602704E-3</v>
      </c>
      <c r="I30" s="10">
        <v>-1.8025554779130815E-3</v>
      </c>
      <c r="J30" s="10">
        <v>9.0117614598421714E-3</v>
      </c>
      <c r="K30" s="10">
        <v>-4.8210525129288695E-2</v>
      </c>
      <c r="L30" s="10">
        <v>-1.817871673515048E-2</v>
      </c>
      <c r="M30" s="10">
        <v>4.2302278928335602E-2</v>
      </c>
      <c r="N30" s="10">
        <v>0.19604473831677538</v>
      </c>
      <c r="O30" s="10">
        <v>1.6800014837161648E-2</v>
      </c>
      <c r="P30" s="10">
        <v>-3.8929705935958125E-2</v>
      </c>
      <c r="Q30" s="10">
        <v>3.6877811303059893E-3</v>
      </c>
      <c r="R30" s="10">
        <v>1.5581542144954552E-2</v>
      </c>
      <c r="S30" s="10">
        <v>-1.3700044134930645E-2</v>
      </c>
      <c r="T30" s="10">
        <v>7.6314388767484642E-2</v>
      </c>
      <c r="U30" s="10">
        <v>6.058114240007173E-2</v>
      </c>
      <c r="V30" s="10">
        <v>5.053770877226893E-2</v>
      </c>
      <c r="W30" s="10">
        <v>7.846422551915877E-2</v>
      </c>
      <c r="X30" s="10">
        <v>9.3571385409050745E-2</v>
      </c>
      <c r="Y30" s="10">
        <v>9.0509778786355355E-2</v>
      </c>
      <c r="Z30" s="10">
        <v>8.1041423492278275E-2</v>
      </c>
      <c r="AA30" s="10">
        <v>8.8842415355231186E-2</v>
      </c>
      <c r="AB30" s="10">
        <v>2.2726687207297536E-2</v>
      </c>
      <c r="AC30" s="2">
        <v>5.2046762175033123E-2</v>
      </c>
      <c r="AD30" s="2">
        <v>0.33437944169120692</v>
      </c>
      <c r="AE30" s="2">
        <v>1.9779729243811328E-2</v>
      </c>
      <c r="AF30" s="2">
        <v>0.11617222590786169</v>
      </c>
      <c r="AG30" s="2">
        <v>0.12495495636622422</v>
      </c>
      <c r="AH30" s="2">
        <v>0.11469815720221521</v>
      </c>
      <c r="AI30" s="2">
        <v>4.9547043985907813E-2</v>
      </c>
      <c r="AJ30" s="2">
        <v>4.7338850262294008E-2</v>
      </c>
      <c r="AK30" s="2">
        <v>0.10871821403117043</v>
      </c>
      <c r="AL30" s="2">
        <v>-7.2664267695482621E-2</v>
      </c>
      <c r="AM30" s="2">
        <v>4.2725684409177234E-2</v>
      </c>
      <c r="AN30" s="2">
        <v>6.7103535428610472E-2</v>
      </c>
    </row>
    <row r="31" spans="1:40" x14ac:dyDescent="0.25">
      <c r="A31" s="1">
        <f t="shared" si="0"/>
        <v>39326</v>
      </c>
      <c r="B31" s="10">
        <v>7.7132473090956166E-2</v>
      </c>
      <c r="C31" s="10">
        <v>0.34972367324565568</v>
      </c>
      <c r="D31" s="10">
        <v>-3.8472175116370799E-3</v>
      </c>
      <c r="E31" s="10">
        <v>-3.3750348324403934E-3</v>
      </c>
      <c r="F31" s="10">
        <v>-8.5218723838819233E-2</v>
      </c>
      <c r="G31" s="10">
        <v>1.4195544868876864E-2</v>
      </c>
      <c r="H31" s="10">
        <v>1.9224051935813335E-2</v>
      </c>
      <c r="I31" s="10">
        <v>2.4699488430170558E-2</v>
      </c>
      <c r="J31" s="10">
        <v>8.842428422289883E-3</v>
      </c>
      <c r="K31" s="10">
        <v>-7.8547248331912733E-3</v>
      </c>
      <c r="L31" s="10">
        <v>-3.4568532949138087E-2</v>
      </c>
      <c r="M31" s="10">
        <v>4.8062529139906829E-2</v>
      </c>
      <c r="N31" s="10">
        <v>1.6479495810409306E-2</v>
      </c>
      <c r="O31" s="10">
        <v>8.7811930390411241E-3</v>
      </c>
      <c r="P31" s="10">
        <v>2.6157972293734622E-2</v>
      </c>
      <c r="Q31" s="10">
        <v>0.13364563713355104</v>
      </c>
      <c r="R31" s="10">
        <v>-7.5491977599275728E-3</v>
      </c>
      <c r="S31" s="10">
        <v>9.6057489451476741E-2</v>
      </c>
      <c r="T31" s="10">
        <v>8.3034529149122349E-2</v>
      </c>
      <c r="U31" s="10">
        <v>5.8880886212651307E-2</v>
      </c>
      <c r="V31" s="10">
        <v>4.1986384657219267E-2</v>
      </c>
      <c r="W31" s="10">
        <v>0.11898577519445164</v>
      </c>
      <c r="X31" s="10">
        <v>6.8498052594271552E-2</v>
      </c>
      <c r="Y31" s="10">
        <v>0.11128840560763242</v>
      </c>
      <c r="Z31" s="10">
        <v>8.0482781108264456E-2</v>
      </c>
      <c r="AA31" s="10">
        <v>0.10396958788459343</v>
      </c>
      <c r="AB31" s="10">
        <v>0.13892971384109964</v>
      </c>
      <c r="AC31" s="2">
        <v>3.6950860254222562E-2</v>
      </c>
      <c r="AD31" s="2">
        <v>0.31934344105277757</v>
      </c>
      <c r="AE31" s="2">
        <v>1.5330636047105051E-2</v>
      </c>
      <c r="AF31" s="2">
        <v>0.20738783797091931</v>
      </c>
      <c r="AG31" s="2">
        <v>0.23166765502881326</v>
      </c>
      <c r="AH31" s="2">
        <v>0.20502102972123826</v>
      </c>
      <c r="AI31" s="2">
        <v>4.1217311669612622E-2</v>
      </c>
      <c r="AJ31" s="2">
        <v>5.429627639140655E-2</v>
      </c>
      <c r="AK31" s="2">
        <v>5.7366395287362204E-2</v>
      </c>
      <c r="AL31" s="2">
        <v>-4.133384168074683E-2</v>
      </c>
      <c r="AM31" s="2">
        <v>4.9777817009940106E-2</v>
      </c>
      <c r="AN31" s="2">
        <v>7.723164154819373E-2</v>
      </c>
    </row>
    <row r="32" spans="1:40" x14ac:dyDescent="0.25">
      <c r="A32" s="1">
        <f t="shared" si="0"/>
        <v>39417</v>
      </c>
      <c r="B32" s="10">
        <v>0.11846671195360714</v>
      </c>
      <c r="C32" s="10">
        <v>0.36221152854216121</v>
      </c>
      <c r="D32" s="10">
        <v>0.28252485918868819</v>
      </c>
      <c r="E32" s="10">
        <v>0.2840743120139273</v>
      </c>
      <c r="F32" s="10">
        <v>-0.21090388190903442</v>
      </c>
      <c r="G32" s="10">
        <v>0.37809167400648946</v>
      </c>
      <c r="H32" s="10">
        <v>8.0002949919066868E-3</v>
      </c>
      <c r="I32" s="10">
        <v>-5.3367943176132471E-3</v>
      </c>
      <c r="J32" s="10">
        <v>3.3813095346983513E-2</v>
      </c>
      <c r="K32" s="10">
        <v>8.6391144787105745E-3</v>
      </c>
      <c r="L32" s="10">
        <v>-2.6073568327568797E-2</v>
      </c>
      <c r="M32" s="10">
        <v>5.0908366409494477E-2</v>
      </c>
      <c r="N32" s="10">
        <v>0.88126978913972276</v>
      </c>
      <c r="O32" s="10">
        <v>2.7662528660717722E-2</v>
      </c>
      <c r="P32" s="10">
        <v>9.0956284403729937E-2</v>
      </c>
      <c r="Q32" s="10">
        <v>-0.20544424090523372</v>
      </c>
      <c r="R32" s="10">
        <v>-0.16988785854154331</v>
      </c>
      <c r="S32" s="10">
        <v>0.1133105336123279</v>
      </c>
      <c r="T32" s="10">
        <v>3.5421681217018719E-2</v>
      </c>
      <c r="U32" s="10">
        <v>3.8038412001146105E-2</v>
      </c>
      <c r="V32" s="10">
        <v>-4.840511834835215E-2</v>
      </c>
      <c r="W32" s="10">
        <v>3.7787747671396588E-2</v>
      </c>
      <c r="X32" s="10">
        <v>0.1361131455083564</v>
      </c>
      <c r="Y32" s="10">
        <v>8.1660768792733984E-2</v>
      </c>
      <c r="Z32" s="10">
        <v>8.3135080053644561E-2</v>
      </c>
      <c r="AA32" s="10">
        <v>7.6600109643321979E-2</v>
      </c>
      <c r="AB32" s="10">
        <v>0.1502078980703585</v>
      </c>
      <c r="AC32" s="2">
        <v>6.8816612314630765E-2</v>
      </c>
      <c r="AD32" s="2">
        <v>0.32363220170561124</v>
      </c>
      <c r="AE32" s="2">
        <v>1.0793106463531155E-2</v>
      </c>
      <c r="AF32" s="2">
        <v>7.4608995719027016E-2</v>
      </c>
      <c r="AG32" s="2">
        <v>7.1116855590269479E-2</v>
      </c>
      <c r="AH32" s="2">
        <v>9.0109017839081096E-2</v>
      </c>
      <c r="AI32" s="2">
        <v>1.922610034097505E-2</v>
      </c>
      <c r="AJ32" s="2">
        <v>0.17602860170347845</v>
      </c>
      <c r="AK32" s="2">
        <v>0.14229444041472994</v>
      </c>
      <c r="AL32" s="2">
        <v>7.2493256528762817E-2</v>
      </c>
      <c r="AM32" s="2">
        <v>0.17093148882100806</v>
      </c>
      <c r="AN32" s="2">
        <v>0.11817229179910904</v>
      </c>
    </row>
    <row r="33" spans="1:40" x14ac:dyDescent="0.25">
      <c r="A33" s="1">
        <f t="shared" si="0"/>
        <v>39508</v>
      </c>
      <c r="B33" s="10">
        <v>6.570429817796386E-2</v>
      </c>
      <c r="C33" s="10">
        <v>0.31706933237153545</v>
      </c>
      <c r="D33" s="10">
        <v>0.41691208123748025</v>
      </c>
      <c r="E33" s="10">
        <v>0.42072963199115332</v>
      </c>
      <c r="F33" s="10">
        <v>-0.42522623075537047</v>
      </c>
      <c r="G33" s="10">
        <v>0.34516227176462921</v>
      </c>
      <c r="H33" s="10">
        <v>1.7010636638997934E-2</v>
      </c>
      <c r="I33" s="10">
        <v>1.7737364746568174E-2</v>
      </c>
      <c r="J33" s="10">
        <v>1.5604561064907818E-2</v>
      </c>
      <c r="K33" s="10">
        <v>2.927615445315257E-2</v>
      </c>
      <c r="L33" s="10">
        <v>3.297380473932332E-2</v>
      </c>
      <c r="M33" s="10">
        <v>3.8292966186526334E-2</v>
      </c>
      <c r="N33" s="10">
        <v>0.79258233745932039</v>
      </c>
      <c r="O33" s="10">
        <v>3.205906962152727E-2</v>
      </c>
      <c r="P33" s="10">
        <v>3.1331139910922623E-2</v>
      </c>
      <c r="Q33" s="10">
        <v>-0.14916765663061871</v>
      </c>
      <c r="R33" s="10">
        <v>-7.3638328382572782E-2</v>
      </c>
      <c r="S33" s="10">
        <v>0.21093581464915934</v>
      </c>
      <c r="T33" s="10">
        <v>5.7541104160612866E-2</v>
      </c>
      <c r="U33" s="10">
        <v>1.288477539830768E-2</v>
      </c>
      <c r="V33" s="10">
        <v>8.3266287609855993E-2</v>
      </c>
      <c r="W33" s="10">
        <v>2.2080099813228449E-2</v>
      </c>
      <c r="X33" s="10">
        <v>-3.4575165756138393E-2</v>
      </c>
      <c r="Y33" s="10">
        <v>8.9099114015485537E-2</v>
      </c>
      <c r="Z33" s="10">
        <v>5.9668739932249304E-2</v>
      </c>
      <c r="AA33" s="10">
        <v>8.1118267761411955E-2</v>
      </c>
      <c r="AB33" s="10">
        <v>0.17022404077113507</v>
      </c>
      <c r="AC33" s="2">
        <v>4.3244623859963749E-3</v>
      </c>
      <c r="AD33" s="2">
        <v>0.28109083382028599</v>
      </c>
      <c r="AE33" s="2">
        <v>2.5710937145111856E-2</v>
      </c>
      <c r="AF33" s="2">
        <v>0.1878093626612638</v>
      </c>
      <c r="AG33" s="2">
        <v>0.20081477928185598</v>
      </c>
      <c r="AH33" s="2">
        <v>0.20793638589677488</v>
      </c>
      <c r="AI33" s="2">
        <v>-8.9100338827474701E-5</v>
      </c>
      <c r="AJ33" s="2">
        <v>0.20038428990893364</v>
      </c>
      <c r="AK33" s="2">
        <v>0.16526460373488128</v>
      </c>
      <c r="AL33" s="2">
        <v>6.0166336961936295E-2</v>
      </c>
      <c r="AM33" s="2">
        <v>0.19317002979919251</v>
      </c>
      <c r="AN33" s="2">
        <v>9.1995613355785988E-2</v>
      </c>
    </row>
    <row r="34" spans="1:40" x14ac:dyDescent="0.25">
      <c r="A34" s="1">
        <f t="shared" si="0"/>
        <v>39600</v>
      </c>
      <c r="B34" s="10">
        <v>9.7853987775821549E-2</v>
      </c>
      <c r="C34" s="10">
        <v>0.24633302326793904</v>
      </c>
      <c r="D34" s="10">
        <v>0.46318387376655545</v>
      </c>
      <c r="E34" s="10">
        <v>0.4653016292618064</v>
      </c>
      <c r="F34" s="10">
        <v>0.20160765595453833</v>
      </c>
      <c r="G34" s="10">
        <v>0.31318399101982464</v>
      </c>
      <c r="H34" s="10">
        <v>3.9281044986995139E-2</v>
      </c>
      <c r="I34" s="10">
        <v>3.3735896441983826E-2</v>
      </c>
      <c r="J34" s="10">
        <v>4.9968235819866536E-2</v>
      </c>
      <c r="K34" s="10">
        <v>1.4542936129307016E-2</v>
      </c>
      <c r="L34" s="10">
        <v>2.3786313988543029E-2</v>
      </c>
      <c r="M34" s="10">
        <v>3.2163540771217747E-2</v>
      </c>
      <c r="N34" s="10">
        <v>0.55654864385539571</v>
      </c>
      <c r="O34" s="10">
        <v>2.8765545949061E-2</v>
      </c>
      <c r="P34" s="10">
        <v>7.3363420776951571E-2</v>
      </c>
      <c r="Q34" s="10">
        <v>-9.3909788696685426E-2</v>
      </c>
      <c r="R34" s="10">
        <v>7.5477660329179574E-3</v>
      </c>
      <c r="S34" s="10">
        <v>4.8451528030221791E-2</v>
      </c>
      <c r="T34" s="10">
        <v>0.12644301821871351</v>
      </c>
      <c r="U34" s="10">
        <v>-1.0662448746606712E-2</v>
      </c>
      <c r="V34" s="10">
        <v>0.10155058411241913</v>
      </c>
      <c r="W34" s="10">
        <v>-2.6588191908808234E-2</v>
      </c>
      <c r="X34" s="10">
        <v>0.13393006318784906</v>
      </c>
      <c r="Y34" s="10">
        <v>0.117846385634226</v>
      </c>
      <c r="Z34" s="10">
        <v>5.5855904696968217E-2</v>
      </c>
      <c r="AA34" s="10">
        <v>7.7250701972594982E-2</v>
      </c>
      <c r="AB34" s="10">
        <v>0.15780092873064877</v>
      </c>
      <c r="AC34" s="2">
        <v>1.0478632869373117E-2</v>
      </c>
      <c r="AD34" s="2">
        <v>0.21503357533004852</v>
      </c>
      <c r="AE34" s="2">
        <v>2.4642057516547355E-2</v>
      </c>
      <c r="AF34" s="2">
        <v>0.29438072893315304</v>
      </c>
      <c r="AG34" s="2">
        <v>0.32139226729658099</v>
      </c>
      <c r="AH34" s="2">
        <v>0.30433017113196548</v>
      </c>
      <c r="AI34" s="2">
        <v>-8.0477721552063564E-4</v>
      </c>
      <c r="AJ34" s="2">
        <v>0.24202219733942587</v>
      </c>
      <c r="AK34" s="2">
        <v>0.14325308526559999</v>
      </c>
      <c r="AL34" s="2">
        <v>0.10317754616475083</v>
      </c>
      <c r="AM34" s="2">
        <v>0.23429283699003656</v>
      </c>
      <c r="AN34" s="2">
        <v>0.13553708493062677</v>
      </c>
    </row>
    <row r="35" spans="1:40" x14ac:dyDescent="0.25">
      <c r="A35" s="1">
        <f t="shared" si="0"/>
        <v>39692</v>
      </c>
      <c r="B35" s="10">
        <v>-8.2827303079381354E-3</v>
      </c>
      <c r="C35" s="10">
        <v>0.23214142488535194</v>
      </c>
      <c r="D35" s="10">
        <v>0.40616044011198782</v>
      </c>
      <c r="E35" s="10">
        <v>0.40634617943828832</v>
      </c>
      <c r="F35" s="10">
        <v>0.27448574996251018</v>
      </c>
      <c r="G35" s="10">
        <v>0.27451152038750948</v>
      </c>
      <c r="H35" s="10">
        <v>1.8195888023864626E-2</v>
      </c>
      <c r="I35" s="10">
        <v>1.135018903104168E-2</v>
      </c>
      <c r="J35" s="10">
        <v>3.171716813275216E-2</v>
      </c>
      <c r="K35" s="10">
        <v>1.8181397382785125E-2</v>
      </c>
      <c r="L35" s="10">
        <v>-9.7880709767843577E-3</v>
      </c>
      <c r="M35" s="10">
        <v>4.1424962118133291E-2</v>
      </c>
      <c r="N35" s="10">
        <v>0.52315837725342362</v>
      </c>
      <c r="O35" s="10">
        <v>2.7001974847383758E-2</v>
      </c>
      <c r="P35" s="10">
        <v>5.7091530305815041E-3</v>
      </c>
      <c r="Q35" s="10">
        <v>-0.17374932262891696</v>
      </c>
      <c r="R35" s="10">
        <v>-3.1061200535270062E-2</v>
      </c>
      <c r="S35" s="10">
        <v>5.9020099267777182E-2</v>
      </c>
      <c r="T35" s="10">
        <v>8.9672831709891376E-2</v>
      </c>
      <c r="U35" s="10">
        <v>2.3201796036855793E-3</v>
      </c>
      <c r="V35" s="10">
        <v>8.5596360872678856E-2</v>
      </c>
      <c r="W35" s="10">
        <v>-2.4912018061468366E-2</v>
      </c>
      <c r="X35" s="10">
        <v>0.1767197629129369</v>
      </c>
      <c r="Y35" s="10">
        <v>0.12738537008524542</v>
      </c>
      <c r="Z35" s="10">
        <v>5.5115927564212575E-2</v>
      </c>
      <c r="AA35" s="10">
        <v>4.8436990820674541E-2</v>
      </c>
      <c r="AB35" s="10">
        <v>8.7921663159275409E-2</v>
      </c>
      <c r="AC35" s="2">
        <v>3.0568854123631084E-2</v>
      </c>
      <c r="AD35" s="2">
        <v>0.20549452757433895</v>
      </c>
      <c r="AE35" s="2">
        <v>2.9287169235033828E-2</v>
      </c>
      <c r="AF35" s="2">
        <v>0.33734376924238596</v>
      </c>
      <c r="AG35" s="2">
        <v>0.37700084978912796</v>
      </c>
      <c r="AH35" s="2">
        <v>0.33680023204045906</v>
      </c>
      <c r="AI35" s="2">
        <v>3.3194544360535261E-3</v>
      </c>
      <c r="AJ35" s="2">
        <v>0.22278260609952127</v>
      </c>
      <c r="AK35" s="2">
        <v>0.15748121215982813</v>
      </c>
      <c r="AL35" s="2">
        <v>7.2166787070592653E-2</v>
      </c>
      <c r="AM35" s="2">
        <v>0.21541796621012455</v>
      </c>
      <c r="AN35" s="2">
        <v>0.13318174708598707</v>
      </c>
    </row>
    <row r="36" spans="1:40" x14ac:dyDescent="0.25">
      <c r="A36" s="1">
        <f t="shared" si="0"/>
        <v>39783</v>
      </c>
      <c r="B36" s="10">
        <v>0.13649682930204809</v>
      </c>
      <c r="C36" s="10">
        <v>1.9995202797273848E-4</v>
      </c>
      <c r="D36" s="10">
        <v>-0.12454674756031126</v>
      </c>
      <c r="E36" s="10">
        <v>-0.12547950918163131</v>
      </c>
      <c r="F36" s="10">
        <v>0.1330824972129323</v>
      </c>
      <c r="G36" s="10">
        <v>-0.29924416234388862</v>
      </c>
      <c r="H36" s="10">
        <v>6.5250728413570158E-2</v>
      </c>
      <c r="I36" s="10">
        <v>7.4876856597767771E-2</v>
      </c>
      <c r="J36" s="10">
        <v>4.6400827793754873E-2</v>
      </c>
      <c r="K36" s="10">
        <v>-1.6269718383788545E-2</v>
      </c>
      <c r="L36" s="10">
        <v>5.4847862795691205E-2</v>
      </c>
      <c r="M36" s="10">
        <v>5.1638538125033495E-2</v>
      </c>
      <c r="N36" s="10">
        <v>-0.58366128908912329</v>
      </c>
      <c r="O36" s="10">
        <v>2.7954883448675583E-2</v>
      </c>
      <c r="P36" s="10">
        <v>8.1888982336977278E-3</v>
      </c>
      <c r="Q36" s="10">
        <v>0.37959312390606459</v>
      </c>
      <c r="R36" s="10">
        <v>0.23464028805141646</v>
      </c>
      <c r="S36" s="10">
        <v>8.3482241232979204E-2</v>
      </c>
      <c r="T36" s="10">
        <v>0.10150318275941417</v>
      </c>
      <c r="U36" s="10">
        <v>3.703102874458386E-2</v>
      </c>
      <c r="V36" s="10">
        <v>0.24197386784810138</v>
      </c>
      <c r="W36" s="10">
        <v>-1.972923300944851E-2</v>
      </c>
      <c r="X36" s="10">
        <v>5.123864200758188E-2</v>
      </c>
      <c r="Y36" s="10">
        <v>8.7761685933601452E-2</v>
      </c>
      <c r="Z36" s="10">
        <v>2.6376275666198712E-2</v>
      </c>
      <c r="AA36" s="10">
        <v>3.0522944927025675E-2</v>
      </c>
      <c r="AB36" s="10">
        <v>0.14237023216892108</v>
      </c>
      <c r="AC36" s="2">
        <v>1.486645031694156E-2</v>
      </c>
      <c r="AD36" s="2">
        <v>-4.8414028276276833E-3</v>
      </c>
      <c r="AE36" s="2">
        <v>3.7413657292258096E-2</v>
      </c>
      <c r="AF36" s="2">
        <v>0.25358008419537592</v>
      </c>
      <c r="AG36" s="2">
        <v>0.28625523951249288</v>
      </c>
      <c r="AH36" s="2">
        <v>0.24577569478802275</v>
      </c>
      <c r="AI36" s="2">
        <v>1.124992246090839E-2</v>
      </c>
      <c r="AJ36" s="2">
        <v>-2.6425775238356763E-2</v>
      </c>
      <c r="AK36" s="2">
        <v>4.1585152759320954E-2</v>
      </c>
      <c r="AL36" s="2">
        <v>8.078440234127382E-2</v>
      </c>
      <c r="AM36" s="2">
        <v>-2.0579137201882536E-2</v>
      </c>
      <c r="AN36" s="2">
        <v>2.6948686209752326E-2</v>
      </c>
    </row>
    <row r="37" spans="1:40" x14ac:dyDescent="0.25">
      <c r="A37" s="1">
        <f t="shared" si="0"/>
        <v>39873</v>
      </c>
      <c r="B37" s="10">
        <v>7.2972748819748245E-2</v>
      </c>
      <c r="C37" s="10">
        <v>-6.6222622930162456E-2</v>
      </c>
      <c r="D37" s="10">
        <v>-0.31715763457234869</v>
      </c>
      <c r="E37" s="10">
        <v>-0.31828903829158339</v>
      </c>
      <c r="F37" s="10">
        <v>0.47472791540782344</v>
      </c>
      <c r="G37" s="10">
        <v>-0.34450248996067767</v>
      </c>
      <c r="H37" s="10">
        <v>3.8003204477530472E-2</v>
      </c>
      <c r="I37" s="10">
        <v>7.0525308080948701E-3</v>
      </c>
      <c r="J37" s="10">
        <v>9.8276352571316838E-2</v>
      </c>
      <c r="K37" s="10">
        <v>-1.2136313534604315E-2</v>
      </c>
      <c r="L37" s="10">
        <v>2.1251472761055989E-2</v>
      </c>
      <c r="M37" s="10">
        <v>6.1210160736226982E-2</v>
      </c>
      <c r="N37" s="10">
        <v>-0.69232326665626864</v>
      </c>
      <c r="O37" s="10">
        <v>3.7363156354086158E-2</v>
      </c>
      <c r="P37" s="10">
        <v>-2.5529619945694915E-2</v>
      </c>
      <c r="Q37" s="10">
        <v>9.4637935346053137E-2</v>
      </c>
      <c r="R37" s="10">
        <v>-5.0184410452406625E-2</v>
      </c>
      <c r="S37" s="10">
        <v>-2.2568613430392404E-2</v>
      </c>
      <c r="T37" s="10">
        <v>3.0828002995646919E-2</v>
      </c>
      <c r="U37" s="10">
        <v>4.2759526094794831E-2</v>
      </c>
      <c r="V37" s="10">
        <v>-1.9252552640058096E-2</v>
      </c>
      <c r="W37" s="10">
        <v>3.1230215429111086E-2</v>
      </c>
      <c r="X37" s="10">
        <v>0.24318804992487242</v>
      </c>
      <c r="Y37" s="10">
        <v>7.0190245811083907E-2</v>
      </c>
      <c r="Z37" s="10">
        <v>3.0153257171630088E-2</v>
      </c>
      <c r="AA37" s="10">
        <v>5.2748667654195502E-2</v>
      </c>
      <c r="AB37" s="10">
        <v>0.23506369197625521</v>
      </c>
      <c r="AC37" s="2">
        <v>3.0600917773537795E-4</v>
      </c>
      <c r="AD37" s="2">
        <v>-6.0972726870531013E-2</v>
      </c>
      <c r="AE37" s="2">
        <v>6.6815589733912883E-2</v>
      </c>
      <c r="AF37" s="2">
        <v>0.19305096288260382</v>
      </c>
      <c r="AG37" s="2">
        <v>0.22793764229142321</v>
      </c>
      <c r="AH37" s="2">
        <v>0.16927484999816222</v>
      </c>
      <c r="AI37" s="2">
        <v>3.149840543876592E-2</v>
      </c>
      <c r="AJ37" s="2">
        <v>-8.713486616232502E-2</v>
      </c>
      <c r="AK37" s="2">
        <v>-1.3138379825814006E-2</v>
      </c>
      <c r="AL37" s="2">
        <v>3.4544768724351638E-3</v>
      </c>
      <c r="AM37" s="2">
        <v>-8.1716938403963324E-2</v>
      </c>
      <c r="AN37" s="2">
        <v>2.6304586217569259E-2</v>
      </c>
    </row>
    <row r="38" spans="1:40" x14ac:dyDescent="0.25">
      <c r="A38" s="1">
        <f t="shared" si="0"/>
        <v>39965</v>
      </c>
      <c r="B38" s="10">
        <v>6.1249855011573429E-2</v>
      </c>
      <c r="C38" s="10">
        <v>-0.1122958739563954</v>
      </c>
      <c r="D38" s="10">
        <v>-0.4026086002489303</v>
      </c>
      <c r="E38" s="10">
        <v>-0.40380635269098064</v>
      </c>
      <c r="F38" s="10">
        <v>-0.1902149493481623</v>
      </c>
      <c r="G38" s="10">
        <v>-0.33679345532943628</v>
      </c>
      <c r="H38" s="10">
        <v>4.6274618975479243E-2</v>
      </c>
      <c r="I38" s="10">
        <v>3.2434073921351558E-2</v>
      </c>
      <c r="J38" s="10">
        <v>7.3226465160140641E-2</v>
      </c>
      <c r="K38" s="10">
        <v>2.2690810759094848E-2</v>
      </c>
      <c r="L38" s="10">
        <v>4.3909644167038131E-2</v>
      </c>
      <c r="M38" s="10">
        <v>6.1570368398704556E-2</v>
      </c>
      <c r="N38" s="10">
        <v>-0.57750665019909198</v>
      </c>
      <c r="O38" s="10">
        <v>4.163017688273718E-2</v>
      </c>
      <c r="P38" s="10">
        <v>1.1540038444289191E-2</v>
      </c>
      <c r="Q38" s="10">
        <v>0.19609773920287688</v>
      </c>
      <c r="R38" s="10">
        <v>1.8663444319300559E-2</v>
      </c>
      <c r="S38" s="10">
        <v>4.4630416710574217E-2</v>
      </c>
      <c r="T38" s="10">
        <v>-5.0423356795285756E-2</v>
      </c>
      <c r="U38" s="10">
        <v>7.4440555286025667E-2</v>
      </c>
      <c r="V38" s="10">
        <v>-6.5286356184234284E-3</v>
      </c>
      <c r="W38" s="10">
        <v>4.4230094179455559E-2</v>
      </c>
      <c r="X38" s="10">
        <v>4.2811162053954632E-2</v>
      </c>
      <c r="Y38" s="10">
        <v>2.6719460934060635E-2</v>
      </c>
      <c r="Z38" s="10">
        <v>2.1620160336733196E-2</v>
      </c>
      <c r="AA38" s="10">
        <v>2.9956886575494224E-2</v>
      </c>
      <c r="AB38" s="10">
        <v>0.2050370098025962</v>
      </c>
      <c r="AC38" s="2">
        <v>2.7935251347501744E-3</v>
      </c>
      <c r="AD38" s="2">
        <v>-9.8033529358738325E-2</v>
      </c>
      <c r="AE38" s="2">
        <v>7.7778288669708706E-2</v>
      </c>
      <c r="AF38" s="2">
        <v>3.9746333346299956E-2</v>
      </c>
      <c r="AG38" s="2">
        <v>4.913873384880052E-2</v>
      </c>
      <c r="AH38" s="2">
        <v>2.5137923811964002E-2</v>
      </c>
      <c r="AI38" s="2">
        <v>3.8554907690169227E-2</v>
      </c>
      <c r="AJ38" s="2">
        <v>-0.14536725130197681</v>
      </c>
      <c r="AK38" s="2">
        <v>-1.7559616869578409E-2</v>
      </c>
      <c r="AL38" s="2">
        <v>2.6461974646702968E-2</v>
      </c>
      <c r="AM38" s="2">
        <v>-0.13646335456670933</v>
      </c>
      <c r="AN38" s="2">
        <v>-2.1239818209314865E-2</v>
      </c>
    </row>
    <row r="39" spans="1:40" x14ac:dyDescent="0.25">
      <c r="A39" s="1">
        <f t="shared" si="0"/>
        <v>40057</v>
      </c>
      <c r="B39" s="10">
        <v>0.12150027104991312</v>
      </c>
      <c r="C39" s="10">
        <v>-9.6639996572288611E-2</v>
      </c>
      <c r="D39" s="10">
        <v>-0.32830922723739031</v>
      </c>
      <c r="E39" s="10">
        <v>-0.32931939477113326</v>
      </c>
      <c r="F39" s="10">
        <v>-0.1467180909681024</v>
      </c>
      <c r="G39" s="10">
        <v>-0.22670354886190958</v>
      </c>
      <c r="H39" s="10">
        <v>5.2160787011305887E-2</v>
      </c>
      <c r="I39" s="10">
        <v>2.5701552573887732E-2</v>
      </c>
      <c r="J39" s="10">
        <v>0.10367355557238556</v>
      </c>
      <c r="K39" s="10">
        <v>2.1768682321252397E-2</v>
      </c>
      <c r="L39" s="10">
        <v>4.5433954613562699E-2</v>
      </c>
      <c r="M39" s="10">
        <v>4.5210910068563148E-2</v>
      </c>
      <c r="N39" s="10">
        <v>-0.4099012128739562</v>
      </c>
      <c r="O39" s="10">
        <v>2.1349617920612518E-2</v>
      </c>
      <c r="P39" s="10">
        <v>2.1471427379734065E-2</v>
      </c>
      <c r="Q39" s="10">
        <v>0.18440423763760516</v>
      </c>
      <c r="R39" s="10">
        <v>9.9997239090217072E-3</v>
      </c>
      <c r="S39" s="10">
        <v>-0.14312433226989862</v>
      </c>
      <c r="T39" s="10">
        <v>-1.8013466824835067E-2</v>
      </c>
      <c r="U39" s="10">
        <v>5.891691604647753E-2</v>
      </c>
      <c r="V39" s="10">
        <v>-3.2691349039179141E-2</v>
      </c>
      <c r="W39" s="10">
        <v>2.8434607584369553E-2</v>
      </c>
      <c r="X39" s="10">
        <v>-3.1000975814699405E-2</v>
      </c>
      <c r="Y39" s="10">
        <v>-2.7822882434234142E-3</v>
      </c>
      <c r="Z39" s="10">
        <v>7.1422321324119409E-3</v>
      </c>
      <c r="AA39" s="10">
        <v>-1.2401065447321447E-2</v>
      </c>
      <c r="AB39" s="10">
        <v>0.12455330804509646</v>
      </c>
      <c r="AC39" s="2">
        <v>1.7320247235841357E-3</v>
      </c>
      <c r="AD39" s="2">
        <v>-7.8295504704643082E-2</v>
      </c>
      <c r="AE39" s="2">
        <v>7.0406978746176074E-2</v>
      </c>
      <c r="AF39" s="2">
        <v>-2.3966296084836913E-2</v>
      </c>
      <c r="AG39" s="2">
        <v>-2.1408432203156136E-2</v>
      </c>
      <c r="AH39" s="2">
        <v>-3.6914472915864804E-2</v>
      </c>
      <c r="AI39" s="2">
        <v>4.4472602571303588E-2</v>
      </c>
      <c r="AJ39" s="2">
        <v>-0.12960985439408079</v>
      </c>
      <c r="AK39" s="2">
        <v>-5.4957551516577441E-2</v>
      </c>
      <c r="AL39" s="2">
        <v>2.6914281511776883E-2</v>
      </c>
      <c r="AM39" s="2">
        <v>-0.12221212260756564</v>
      </c>
      <c r="AN39" s="2">
        <v>-2.931811773094295E-2</v>
      </c>
    </row>
    <row r="40" spans="1:40" x14ac:dyDescent="0.25">
      <c r="A40" s="1">
        <f t="shared" si="0"/>
        <v>40148</v>
      </c>
      <c r="B40" s="10">
        <v>0.13599324854800443</v>
      </c>
      <c r="C40" s="10">
        <v>6.9641110050004951E-3</v>
      </c>
      <c r="D40" s="10">
        <v>7.2370224384751491E-2</v>
      </c>
      <c r="E40" s="10">
        <v>7.2023676817833504E-2</v>
      </c>
      <c r="F40" s="10">
        <v>0.31891861743256023</v>
      </c>
      <c r="G40" s="10">
        <v>0.27532720576111669</v>
      </c>
      <c r="H40" s="10">
        <v>2.7816714802392006E-2</v>
      </c>
      <c r="I40" s="10">
        <v>-1.8725704805466759E-4</v>
      </c>
      <c r="J40" s="10">
        <v>8.5416698077163122E-2</v>
      </c>
      <c r="K40" s="10">
        <v>2.7735509422307514E-2</v>
      </c>
      <c r="L40" s="10">
        <v>-8.4842889274583388E-3</v>
      </c>
      <c r="M40" s="10">
        <v>2.9863564581210422E-2</v>
      </c>
      <c r="N40" s="10">
        <v>0.85938845956286647</v>
      </c>
      <c r="O40" s="10">
        <v>1.3159151948944903E-3</v>
      </c>
      <c r="P40" s="10">
        <v>6.3500099404301125E-4</v>
      </c>
      <c r="Q40" s="10">
        <v>0.12729606941306693</v>
      </c>
      <c r="R40" s="10">
        <v>-0.10747693261943192</v>
      </c>
      <c r="S40" s="10">
        <v>2.3938390813630361E-2</v>
      </c>
      <c r="T40" s="10">
        <v>-2.6602976741947448E-2</v>
      </c>
      <c r="U40" s="10">
        <v>5.7631494366303215E-2</v>
      </c>
      <c r="V40" s="10">
        <v>-9.1912930266744186E-2</v>
      </c>
      <c r="W40" s="10">
        <v>3.6385226885317534E-2</v>
      </c>
      <c r="X40" s="10">
        <v>2.0030173431948572E-3</v>
      </c>
      <c r="Y40" s="10">
        <v>1.9408876870752767E-2</v>
      </c>
      <c r="Z40" s="10">
        <v>3.5926252581992113E-2</v>
      </c>
      <c r="AA40" s="10">
        <v>3.8102652552245209E-2</v>
      </c>
      <c r="AB40" s="10">
        <v>7.7603500482338106E-2</v>
      </c>
      <c r="AC40" s="2">
        <v>-3.4130257965382382E-3</v>
      </c>
      <c r="AD40" s="2">
        <v>2.4333239306260745E-2</v>
      </c>
      <c r="AE40" s="2">
        <v>8.1893527622040496E-2</v>
      </c>
      <c r="AF40" s="2">
        <v>-1.6321024738668144E-2</v>
      </c>
      <c r="AG40" s="2">
        <v>-1.3503782853584667E-2</v>
      </c>
      <c r="AH40" s="2">
        <v>-2.7834063116580987E-2</v>
      </c>
      <c r="AI40" s="2">
        <v>3.6051596587843182E-2</v>
      </c>
      <c r="AJ40" s="2">
        <v>6.7804355193836763E-2</v>
      </c>
      <c r="AK40" s="2">
        <v>5.1135425680942648E-2</v>
      </c>
      <c r="AL40" s="2">
        <v>5.0458276729052454E-2</v>
      </c>
      <c r="AM40" s="2">
        <v>6.6530141563793554E-2</v>
      </c>
      <c r="AN40" s="2">
        <v>6.4289033731404377E-2</v>
      </c>
    </row>
    <row r="41" spans="1:40" x14ac:dyDescent="0.25">
      <c r="A41" s="1">
        <f t="shared" si="0"/>
        <v>40238</v>
      </c>
      <c r="B41" s="10">
        <v>0.11836013860508099</v>
      </c>
      <c r="C41" s="10">
        <v>1.0027187338244925E-2</v>
      </c>
      <c r="D41" s="10">
        <v>0.3593014803791339</v>
      </c>
      <c r="E41" s="10">
        <v>0.36049996995557132</v>
      </c>
      <c r="F41" s="10">
        <v>0.19294248589507634</v>
      </c>
      <c r="G41" s="10">
        <v>0.45566155948208253</v>
      </c>
      <c r="H41" s="10">
        <v>5.2836872711017335E-2</v>
      </c>
      <c r="I41" s="10">
        <v>4.3902888250086036E-2</v>
      </c>
      <c r="J41" s="10">
        <v>6.9411099062666626E-2</v>
      </c>
      <c r="K41" s="10">
        <v>4.265704245305435E-2</v>
      </c>
      <c r="L41" s="10">
        <v>-5.6864366926436816E-3</v>
      </c>
      <c r="M41" s="10">
        <v>3.7660867022673017E-3</v>
      </c>
      <c r="N41" s="10">
        <v>1.7490017579859365</v>
      </c>
      <c r="O41" s="10">
        <v>-1.8613066165014569E-2</v>
      </c>
      <c r="P41" s="10">
        <v>0.13538310655174079</v>
      </c>
      <c r="Q41" s="10">
        <v>2.8039403581405775E-2</v>
      </c>
      <c r="R41" s="10">
        <v>4.2988792454523583E-2</v>
      </c>
      <c r="S41" s="10">
        <v>7.6834265849604622E-2</v>
      </c>
      <c r="T41" s="10">
        <v>5.4539094620800199E-3</v>
      </c>
      <c r="U41" s="10">
        <v>5.2148545984506134E-2</v>
      </c>
      <c r="V41" s="10">
        <v>4.8772644584365477E-2</v>
      </c>
      <c r="W41" s="10">
        <v>6.4619634274605264E-3</v>
      </c>
      <c r="X41" s="10">
        <v>0.11767663541240259</v>
      </c>
      <c r="Y41" s="10">
        <v>5.9685167461239086E-2</v>
      </c>
      <c r="Z41" s="10">
        <v>2.8246999816632368E-2</v>
      </c>
      <c r="AA41" s="10">
        <v>-1.1147596235983048E-4</v>
      </c>
      <c r="AB41" s="10">
        <v>-1.721895484850855E-2</v>
      </c>
      <c r="AC41" s="2">
        <v>3.6002784307348046E-2</v>
      </c>
      <c r="AD41" s="2">
        <v>2.7929252888124312E-2</v>
      </c>
      <c r="AE41" s="2">
        <v>6.9226164042971439E-2</v>
      </c>
      <c r="AF41" s="2">
        <v>0.14256659778090697</v>
      </c>
      <c r="AG41" s="2">
        <v>0.16366285150178439</v>
      </c>
      <c r="AH41" s="2">
        <v>0.12554745365394826</v>
      </c>
      <c r="AI41" s="2">
        <v>3.802083455346339E-2</v>
      </c>
      <c r="AJ41" s="2">
        <v>0.17558987292875128</v>
      </c>
      <c r="AK41" s="2">
        <v>-1.0115097689531671E-2</v>
      </c>
      <c r="AL41" s="2">
        <v>8.4340620465630067E-2</v>
      </c>
      <c r="AM41" s="2">
        <v>0.16745663145164968</v>
      </c>
      <c r="AN41" s="2">
        <v>0.1145257659608403</v>
      </c>
    </row>
    <row r="42" spans="1:40" x14ac:dyDescent="0.25">
      <c r="A42" s="1">
        <f t="shared" si="0"/>
        <v>40330</v>
      </c>
      <c r="B42" s="10">
        <v>5.3998913232607082E-2</v>
      </c>
      <c r="C42" s="10">
        <v>-3.3860568078268427E-2</v>
      </c>
      <c r="D42" s="10">
        <v>0.46440183290263004</v>
      </c>
      <c r="E42" s="10">
        <v>0.46611844125301904</v>
      </c>
      <c r="F42" s="10">
        <v>0.18007313203686626</v>
      </c>
      <c r="G42" s="10">
        <v>0.2298759098533214</v>
      </c>
      <c r="H42" s="10">
        <v>3.1039629807326996E-2</v>
      </c>
      <c r="I42" s="10">
        <v>7.1962595477108593E-3</v>
      </c>
      <c r="J42" s="10">
        <v>7.8075697692832957E-2</v>
      </c>
      <c r="K42" s="10">
        <v>5.2245541807756091E-3</v>
      </c>
      <c r="L42" s="10">
        <v>-1.1081355350657685E-2</v>
      </c>
      <c r="M42" s="10">
        <v>4.2613282358172633E-4</v>
      </c>
      <c r="N42" s="10">
        <v>0.49961052356402802</v>
      </c>
      <c r="O42" s="10">
        <v>-1.8553645322630707E-2</v>
      </c>
      <c r="P42" s="10">
        <v>8.6100333664884676E-3</v>
      </c>
      <c r="Q42" s="10">
        <v>5.39802825883402E-2</v>
      </c>
      <c r="R42" s="10">
        <v>-2.2578859326838008E-2</v>
      </c>
      <c r="S42" s="10">
        <v>5.4964988647789204E-2</v>
      </c>
      <c r="T42" s="10">
        <v>5.2422306301065813E-2</v>
      </c>
      <c r="U42" s="10">
        <v>4.1607826026259787E-2</v>
      </c>
      <c r="V42" s="10">
        <v>1.7574143504202944E-2</v>
      </c>
      <c r="W42" s="10">
        <v>1.2551533888951472E-2</v>
      </c>
      <c r="X42" s="10">
        <v>0.11756963377494145</v>
      </c>
      <c r="Y42" s="10">
        <v>6.1748593730651891E-2</v>
      </c>
      <c r="Z42" s="10">
        <v>1.2574570257027684E-2</v>
      </c>
      <c r="AA42" s="10">
        <v>-3.3497249873658541E-3</v>
      </c>
      <c r="AB42" s="10">
        <v>2.926356621883186E-2</v>
      </c>
      <c r="AC42" s="2">
        <v>2.0987345734635454E-4</v>
      </c>
      <c r="AD42" s="2">
        <v>-1.6088104923725477E-2</v>
      </c>
      <c r="AE42" s="2">
        <v>7.8276872096666006E-2</v>
      </c>
      <c r="AF42" s="2">
        <v>0.17413510510998886</v>
      </c>
      <c r="AG42" s="2">
        <v>0.19180250188152215</v>
      </c>
      <c r="AH42" s="2">
        <v>0.16468035713570273</v>
      </c>
      <c r="AI42" s="2">
        <v>3.1456559441637388E-2</v>
      </c>
      <c r="AJ42" s="2">
        <v>0.16494834241623546</v>
      </c>
      <c r="AK42" s="2">
        <v>-1.3365035690002802E-2</v>
      </c>
      <c r="AL42" s="2">
        <v>1.1592752708941667E-2</v>
      </c>
      <c r="AM42" s="2">
        <v>0.15485819914614662</v>
      </c>
      <c r="AN42" s="2">
        <v>8.1375606484736629E-2</v>
      </c>
    </row>
    <row r="43" spans="1:40" x14ac:dyDescent="0.25">
      <c r="A43" s="1">
        <f t="shared" si="0"/>
        <v>40422</v>
      </c>
      <c r="B43" s="10">
        <v>0.10486773926015935</v>
      </c>
      <c r="C43" s="10">
        <v>-5.5135427070466481E-2</v>
      </c>
      <c r="D43" s="10">
        <v>0.44326265019338096</v>
      </c>
      <c r="E43" s="10">
        <v>0.44597412193297914</v>
      </c>
      <c r="F43" s="10">
        <v>0.20033706094890458</v>
      </c>
      <c r="G43" s="10">
        <v>5.1862976004321437E-2</v>
      </c>
      <c r="H43" s="10">
        <v>4.3308005220958457E-2</v>
      </c>
      <c r="I43" s="10">
        <v>4.6766589299793049E-2</v>
      </c>
      <c r="J43" s="10">
        <v>3.6768161969363389E-2</v>
      </c>
      <c r="K43" s="10">
        <v>-1.2640899633845959E-2</v>
      </c>
      <c r="L43" s="10">
        <v>-1.2858352983317944E-2</v>
      </c>
      <c r="M43" s="10">
        <v>1.2358953893783831E-2</v>
      </c>
      <c r="N43" s="10">
        <v>4.0190141111116517E-2</v>
      </c>
      <c r="O43" s="10">
        <v>1.6102343576932743E-2</v>
      </c>
      <c r="P43" s="10">
        <v>0.10579205202231101</v>
      </c>
      <c r="Q43" s="10">
        <v>0.17540510341578019</v>
      </c>
      <c r="R43" s="10">
        <v>7.02516193931082E-2</v>
      </c>
      <c r="S43" s="10">
        <v>9.4551401174459038E-2</v>
      </c>
      <c r="T43" s="10">
        <v>3.5493021117089851E-2</v>
      </c>
      <c r="U43" s="10">
        <v>4.172092424931173E-2</v>
      </c>
      <c r="V43" s="10">
        <v>7.8599051650594109E-2</v>
      </c>
      <c r="W43" s="10">
        <v>1.4765895445917776E-2</v>
      </c>
      <c r="X43" s="10">
        <v>0.17544828923046696</v>
      </c>
      <c r="Y43" s="10">
        <v>0.1337250460103403</v>
      </c>
      <c r="Z43" s="10">
        <v>3.4755533407667683E-2</v>
      </c>
      <c r="AA43" s="10">
        <v>5.2457497658092267E-2</v>
      </c>
      <c r="AB43" s="10">
        <v>8.8906237817712119E-2</v>
      </c>
      <c r="AC43" s="2">
        <v>1.0101571228072981E-2</v>
      </c>
      <c r="AD43" s="2">
        <v>-4.2279002776143271E-2</v>
      </c>
      <c r="AE43" s="2">
        <v>8.9201749375705131E-2</v>
      </c>
      <c r="AF43" s="2">
        <v>0.36726171971727761</v>
      </c>
      <c r="AG43" s="2">
        <v>0.40576788232858951</v>
      </c>
      <c r="AH43" s="2">
        <v>0.35374419205221419</v>
      </c>
      <c r="AI43" s="2">
        <v>2.8044381082158454E-2</v>
      </c>
      <c r="AJ43" s="2">
        <v>0.19596826150688607</v>
      </c>
      <c r="AK43" s="2">
        <v>5.7156806085781664E-2</v>
      </c>
      <c r="AL43" s="2">
        <v>6.1994243687507389E-2</v>
      </c>
      <c r="AM43" s="2">
        <v>0.18595129460006188</v>
      </c>
      <c r="AN43" s="2">
        <v>0.12150332975656175</v>
      </c>
    </row>
    <row r="44" spans="1:40" x14ac:dyDescent="0.25">
      <c r="A44" s="1">
        <f t="shared" si="0"/>
        <v>40513</v>
      </c>
      <c r="B44" s="10">
        <v>1.1449601145736565E-2</v>
      </c>
      <c r="C44" s="10">
        <v>-7.4949353903486227E-3</v>
      </c>
      <c r="D44" s="10">
        <v>0.24617894999785883</v>
      </c>
      <c r="E44" s="10">
        <v>0.24709052642376395</v>
      </c>
      <c r="F44" s="10">
        <v>0.15375212742269229</v>
      </c>
      <c r="G44" s="10">
        <v>0.12520278498698856</v>
      </c>
      <c r="H44" s="10">
        <v>3.2823185540754363E-2</v>
      </c>
      <c r="I44" s="10">
        <v>4.2155099770097681E-2</v>
      </c>
      <c r="J44" s="10">
        <v>1.5052548976705271E-2</v>
      </c>
      <c r="K44" s="10">
        <v>2.7435205604442903E-2</v>
      </c>
      <c r="L44" s="10">
        <v>1.7006983737324344E-2</v>
      </c>
      <c r="M44" s="10">
        <v>3.2052116300323563E-2</v>
      </c>
      <c r="N44" s="10">
        <v>0.15253815267315551</v>
      </c>
      <c r="O44" s="10">
        <v>6.436591226696553E-2</v>
      </c>
      <c r="P44" s="10">
        <v>8.1713313322438585E-2</v>
      </c>
      <c r="Q44" s="10">
        <v>-9.6928093136015692E-2</v>
      </c>
      <c r="R44" s="10">
        <v>8.6308598253619584E-2</v>
      </c>
      <c r="S44" s="10">
        <v>5.1994090038164131E-2</v>
      </c>
      <c r="T44" s="10">
        <v>5.333967822869079E-2</v>
      </c>
      <c r="U44" s="10">
        <v>2.4836733191809346E-2</v>
      </c>
      <c r="V44" s="10">
        <v>5.9512024757619963E-2</v>
      </c>
      <c r="W44" s="10">
        <v>-8.1041094751588272E-3</v>
      </c>
      <c r="X44" s="10">
        <v>9.1021968164722189E-2</v>
      </c>
      <c r="Y44" s="10">
        <v>7.0952488584790308E-2</v>
      </c>
      <c r="Z44" s="10">
        <v>4.4912258787402237E-2</v>
      </c>
      <c r="AA44" s="10">
        <v>6.101521111617636E-2</v>
      </c>
      <c r="AB44" s="10">
        <v>6.4494399767927035E-2</v>
      </c>
      <c r="AC44" s="2">
        <v>3.2092621583794667E-2</v>
      </c>
      <c r="AD44" s="2">
        <v>-2.1082648337668042E-3</v>
      </c>
      <c r="AE44" s="2">
        <v>5.8325672764222736E-2</v>
      </c>
      <c r="AF44" s="2">
        <v>0.13099879665255121</v>
      </c>
      <c r="AG44" s="2">
        <v>0.13962709228227399</v>
      </c>
      <c r="AH44" s="2">
        <v>0.13532022394517917</v>
      </c>
      <c r="AI44" s="2">
        <v>8.8579155993762093E-3</v>
      </c>
      <c r="AJ44" s="2">
        <v>0.11723397492920773</v>
      </c>
      <c r="AK44" s="2">
        <v>5.9707171087201916E-2</v>
      </c>
      <c r="AL44" s="2">
        <v>6.7037227390670751E-2</v>
      </c>
      <c r="AM44" s="2">
        <v>0.11495555371201993</v>
      </c>
      <c r="AN44" s="2">
        <v>7.3766084128772613E-2</v>
      </c>
    </row>
    <row r="45" spans="1:40" x14ac:dyDescent="0.25">
      <c r="A45" s="1">
        <f t="shared" si="0"/>
        <v>40603</v>
      </c>
      <c r="B45" s="10">
        <v>4.172500510430277E-2</v>
      </c>
      <c r="C45" s="10">
        <v>2.2149947296047801E-2</v>
      </c>
      <c r="D45" s="10">
        <v>0.27420214703371237</v>
      </c>
      <c r="E45" s="10">
        <v>0.27511367579923141</v>
      </c>
      <c r="F45" s="10">
        <v>9.5279152249820198E-2</v>
      </c>
      <c r="G45" s="10">
        <v>0.11051191155491247</v>
      </c>
      <c r="H45" s="10">
        <v>2.6482569191581762E-2</v>
      </c>
      <c r="I45" s="10">
        <v>4.5340018445464425E-2</v>
      </c>
      <c r="J45" s="10">
        <v>-7.1228839181259884E-3</v>
      </c>
      <c r="K45" s="10">
        <v>1.1464717559516613E-2</v>
      </c>
      <c r="L45" s="10">
        <v>5.5232908844266904E-2</v>
      </c>
      <c r="M45" s="10">
        <v>8.2043325904966435E-2</v>
      </c>
      <c r="N45" s="10">
        <v>0.13929719112275074</v>
      </c>
      <c r="O45" s="10">
        <v>0.10591427523867281</v>
      </c>
      <c r="P45" s="10">
        <v>-2.8862853382614295E-2</v>
      </c>
      <c r="Q45" s="10">
        <v>0.14087775018464921</v>
      </c>
      <c r="R45" s="10">
        <v>0.15014555504818161</v>
      </c>
      <c r="S45" s="10">
        <v>3.59687138538336E-2</v>
      </c>
      <c r="T45" s="10">
        <v>8.1714377416801653E-3</v>
      </c>
      <c r="U45" s="10">
        <v>1.5275023395025622E-2</v>
      </c>
      <c r="V45" s="10">
        <v>5.7017257746556194E-2</v>
      </c>
      <c r="W45" s="10">
        <v>-1.1542873756045346E-2</v>
      </c>
      <c r="X45" s="10">
        <v>-0.13471613304563157</v>
      </c>
      <c r="Y45" s="10">
        <v>0.11953143251240861</v>
      </c>
      <c r="Z45" s="10">
        <v>6.0002051315936944E-2</v>
      </c>
      <c r="AA45" s="10">
        <v>7.0589780393354395E-2</v>
      </c>
      <c r="AB45" s="10">
        <v>-3.7324109274470829E-2</v>
      </c>
      <c r="AC45" s="2">
        <v>8.524527136689608E-2</v>
      </c>
      <c r="AD45" s="2">
        <v>1.228782927677341E-2</v>
      </c>
      <c r="AE45" s="2">
        <v>2.4148298215602493E-2</v>
      </c>
      <c r="AF45" s="2">
        <v>0.26198558808179828</v>
      </c>
      <c r="AG45" s="2">
        <v>0.2794983351710596</v>
      </c>
      <c r="AH45" s="2">
        <v>0.26849368906456417</v>
      </c>
      <c r="AI45" s="2">
        <v>1.3262885761025078E-2</v>
      </c>
      <c r="AJ45" s="2">
        <v>0.12449780231264773</v>
      </c>
      <c r="AK45" s="2">
        <v>0.19073090785175162</v>
      </c>
      <c r="AL45" s="2">
        <v>4.8373046076414683E-2</v>
      </c>
      <c r="AM45" s="2">
        <v>0.12191010128023705</v>
      </c>
      <c r="AN45" s="2">
        <v>7.2267479219152886E-2</v>
      </c>
    </row>
    <row r="46" spans="1:40" x14ac:dyDescent="0.25">
      <c r="A46" s="1">
        <f t="shared" si="0"/>
        <v>40695</v>
      </c>
      <c r="B46" s="10">
        <v>4.913266355033219E-2</v>
      </c>
      <c r="C46" s="10">
        <v>8.5365845827642506E-2</v>
      </c>
      <c r="D46" s="10">
        <v>0.3306020332399302</v>
      </c>
      <c r="E46" s="10">
        <v>0.33211404519444954</v>
      </c>
      <c r="F46" s="10">
        <v>2.7688261809686088E-2</v>
      </c>
      <c r="G46" s="10">
        <v>0.29948802454571521</v>
      </c>
      <c r="H46" s="10">
        <v>4.0678589681531374E-2</v>
      </c>
      <c r="I46" s="10">
        <v>7.5768644888236647E-2</v>
      </c>
      <c r="J46" s="10">
        <v>-2.0596034048677603E-2</v>
      </c>
      <c r="K46" s="10">
        <v>3.4932178731167607E-2</v>
      </c>
      <c r="L46" s="10">
        <v>7.6756925154792377E-2</v>
      </c>
      <c r="M46" s="10">
        <v>9.807310685328563E-2</v>
      </c>
      <c r="N46" s="10">
        <v>0.54135773020820577</v>
      </c>
      <c r="O46" s="10">
        <v>0.12871187824670671</v>
      </c>
      <c r="P46" s="10">
        <v>3.3753991000049055E-2</v>
      </c>
      <c r="Q46" s="10">
        <v>9.9634502029446237E-2</v>
      </c>
      <c r="R46" s="10">
        <v>0.18689228346572562</v>
      </c>
      <c r="S46" s="10">
        <v>3.0062272322334049E-2</v>
      </c>
      <c r="T46" s="10">
        <v>2.8706827795634604E-2</v>
      </c>
      <c r="U46" s="10">
        <v>1.4247563035434396E-2</v>
      </c>
      <c r="V46" s="10">
        <v>9.4830714312732267E-2</v>
      </c>
      <c r="W46" s="10">
        <v>-1.1410673790420822E-2</v>
      </c>
      <c r="X46" s="10">
        <v>-8.5787404610240703E-2</v>
      </c>
      <c r="Y46" s="10">
        <v>0.14200255300748199</v>
      </c>
      <c r="Z46" s="10">
        <v>7.5073043322885447E-2</v>
      </c>
      <c r="AA46" s="10">
        <v>8.7293467840361183E-2</v>
      </c>
      <c r="AB46" s="10">
        <v>-7.0506277759496916E-2</v>
      </c>
      <c r="AC46" s="2">
        <v>0.10980130882729888</v>
      </c>
      <c r="AD46" s="2">
        <v>6.7333838184994832E-2</v>
      </c>
      <c r="AE46" s="2">
        <v>1.0667265212039867E-2</v>
      </c>
      <c r="AF46" s="2">
        <v>0.27518806318214373</v>
      </c>
      <c r="AG46" s="2">
        <v>0.28438160723542172</v>
      </c>
      <c r="AH46" s="2">
        <v>0.2894097958419819</v>
      </c>
      <c r="AI46" s="2">
        <v>2.8753328595095384E-2</v>
      </c>
      <c r="AJ46" s="2">
        <v>0.1687276824745243</v>
      </c>
      <c r="AK46" s="2">
        <v>0.30371701218236602</v>
      </c>
      <c r="AL46" s="2">
        <v>0.1714061585720994</v>
      </c>
      <c r="AM46" s="2">
        <v>0.17029475421218088</v>
      </c>
      <c r="AN46" s="2">
        <v>0.12461390782647341</v>
      </c>
    </row>
    <row r="47" spans="1:40" x14ac:dyDescent="0.25">
      <c r="A47" s="1">
        <f t="shared" si="0"/>
        <v>40787</v>
      </c>
      <c r="B47" s="10">
        <v>1.5687234790844107E-2</v>
      </c>
      <c r="C47" s="10">
        <v>7.2251788913944237E-2</v>
      </c>
      <c r="D47" s="10">
        <v>0.25605231908384862</v>
      </c>
      <c r="E47" s="10">
        <v>0.2568124333215005</v>
      </c>
      <c r="F47" s="10">
        <v>0.18924064161083787</v>
      </c>
      <c r="G47" s="10">
        <v>0.34649062433386102</v>
      </c>
      <c r="H47" s="10">
        <v>2.3018368896058794E-2</v>
      </c>
      <c r="I47" s="10">
        <v>4.1600758846753072E-2</v>
      </c>
      <c r="J47" s="10">
        <v>-1.0214896330379752E-2</v>
      </c>
      <c r="K47" s="10">
        <v>1.6272090390562211E-2</v>
      </c>
      <c r="L47" s="10">
        <v>8.8327097780711128E-2</v>
      </c>
      <c r="M47" s="10">
        <v>8.4470021981694732E-2</v>
      </c>
      <c r="N47" s="10">
        <v>0.71122139221644187</v>
      </c>
      <c r="O47" s="10">
        <v>0.13333615405867816</v>
      </c>
      <c r="P47" s="10">
        <v>-1.6838873254361175E-3</v>
      </c>
      <c r="Q47" s="10">
        <v>-2.4851250050610063E-2</v>
      </c>
      <c r="R47" s="10">
        <v>8.9313878382742518E-2</v>
      </c>
      <c r="S47" s="10">
        <v>2.7259103105295779E-2</v>
      </c>
      <c r="T47" s="10">
        <v>6.0044919583756462E-2</v>
      </c>
      <c r="U47" s="10">
        <v>1.2569867901861986E-2</v>
      </c>
      <c r="V47" s="10">
        <v>1.0943262667661768E-2</v>
      </c>
      <c r="W47" s="10">
        <v>-2.1607757130169714E-2</v>
      </c>
      <c r="X47" s="10">
        <v>-8.3907817122146899E-2</v>
      </c>
      <c r="Y47" s="10">
        <v>0.13081876041040519</v>
      </c>
      <c r="Z47" s="10">
        <v>5.7868154472957789E-2</v>
      </c>
      <c r="AA47" s="10">
        <v>6.7821669710337318E-2</v>
      </c>
      <c r="AB47" s="10">
        <v>-7.2355496582259482E-2</v>
      </c>
      <c r="AC47" s="2">
        <v>8.1793839847527305E-2</v>
      </c>
      <c r="AD47" s="2">
        <v>5.836623868177182E-2</v>
      </c>
      <c r="AE47" s="2">
        <v>1.5945485811389437E-2</v>
      </c>
      <c r="AF47" s="2">
        <v>0.26165802998201237</v>
      </c>
      <c r="AG47" s="2">
        <v>0.26627230690186821</v>
      </c>
      <c r="AH47" s="2">
        <v>0.27769100606685004</v>
      </c>
      <c r="AI47" s="2">
        <v>4.4991262734357163E-2</v>
      </c>
      <c r="AJ47" s="2">
        <v>0.15292057198479858</v>
      </c>
      <c r="AK47" s="2">
        <v>0.24921943383187295</v>
      </c>
      <c r="AL47" s="2">
        <v>7.2129398587130744E-2</v>
      </c>
      <c r="AM47" s="2">
        <v>0.1516111037976593</v>
      </c>
      <c r="AN47" s="2">
        <v>0.1190706595107407</v>
      </c>
    </row>
    <row r="48" spans="1:40" x14ac:dyDescent="0.25">
      <c r="A48" s="1">
        <f t="shared" si="0"/>
        <v>40878</v>
      </c>
      <c r="B48" s="10">
        <v>2.3369575378690666E-2</v>
      </c>
      <c r="C48" s="10">
        <v>0.14335582196558239</v>
      </c>
      <c r="D48" s="10">
        <v>0.32925854395166376</v>
      </c>
      <c r="E48" s="10">
        <v>0.32977429327381169</v>
      </c>
      <c r="F48" s="10">
        <v>0.20795917842643807</v>
      </c>
      <c r="G48" s="10">
        <v>0.21243113927403723</v>
      </c>
      <c r="H48" s="10">
        <v>1.5129388763980955E-2</v>
      </c>
      <c r="I48" s="10">
        <v>3.0428601793005106E-2</v>
      </c>
      <c r="J48" s="10">
        <v>-1.3166653960754227E-2</v>
      </c>
      <c r="K48" s="10">
        <v>-1.3935675649724755E-2</v>
      </c>
      <c r="L48" s="10">
        <v>6.7171853717476804E-2</v>
      </c>
      <c r="M48" s="10">
        <v>6.3494828158742411E-2</v>
      </c>
      <c r="N48" s="10">
        <v>0.44889356780596157</v>
      </c>
      <c r="O48" s="10">
        <v>0.11069624086754981</v>
      </c>
      <c r="P48" s="10">
        <v>3.9321698697707852E-2</v>
      </c>
      <c r="Q48" s="10">
        <v>-8.2557968453116248E-2</v>
      </c>
      <c r="R48" s="10">
        <v>4.8128184157274045E-2</v>
      </c>
      <c r="S48" s="10">
        <v>1.7536694254786767E-2</v>
      </c>
      <c r="T48" s="10">
        <v>6.159953108227656E-2</v>
      </c>
      <c r="U48" s="10">
        <v>1.9064883927704113E-2</v>
      </c>
      <c r="V48" s="10">
        <v>1.3035379643872247E-2</v>
      </c>
      <c r="W48" s="10">
        <v>-9.0340877815195952E-3</v>
      </c>
      <c r="X48" s="10">
        <v>4.3846321566304747E-2</v>
      </c>
      <c r="Y48" s="10">
        <v>0.29934839623282117</v>
      </c>
      <c r="Z48" s="10">
        <v>6.0179689433291994E-2</v>
      </c>
      <c r="AA48" s="10">
        <v>3.4055199735374631E-2</v>
      </c>
      <c r="AB48" s="10">
        <v>-3.1452911226554581E-2</v>
      </c>
      <c r="AC48" s="2">
        <v>8.4703698545210315E-2</v>
      </c>
      <c r="AD48" s="2">
        <v>0.13013596797873062</v>
      </c>
      <c r="AE48" s="2">
        <v>4.8460704449899916E-2</v>
      </c>
      <c r="AF48" s="2">
        <v>0.81447745315013798</v>
      </c>
      <c r="AG48" s="2">
        <v>0.87684220338050634</v>
      </c>
      <c r="AH48" s="2">
        <v>0.80476314293642548</v>
      </c>
      <c r="AI48" s="2">
        <v>8.6335435158022111E-2</v>
      </c>
      <c r="AJ48" s="2">
        <v>0.24148038330214616</v>
      </c>
      <c r="AK48" s="2">
        <v>0.16064603743546368</v>
      </c>
      <c r="AL48" s="2">
        <v>0.10185938966269492</v>
      </c>
      <c r="AM48" s="2">
        <v>0.23325748295761395</v>
      </c>
      <c r="AN48" s="2">
        <v>0.20309358818329115</v>
      </c>
    </row>
    <row r="49" spans="1:40" x14ac:dyDescent="0.25">
      <c r="A49" s="1">
        <f t="shared" si="0"/>
        <v>40969</v>
      </c>
      <c r="B49" s="10">
        <v>9.510673592021357E-2</v>
      </c>
      <c r="C49" s="10">
        <v>0.14429794148508623</v>
      </c>
      <c r="D49" s="10">
        <v>0.24313069658438091</v>
      </c>
      <c r="E49" s="10">
        <v>0.24295169142428641</v>
      </c>
      <c r="F49" s="10">
        <v>0.26255577986968648</v>
      </c>
      <c r="G49" s="10">
        <v>0.22458196920372298</v>
      </c>
      <c r="H49" s="10">
        <v>3.4940127304536217E-2</v>
      </c>
      <c r="I49" s="10">
        <v>5.0890960613050318E-2</v>
      </c>
      <c r="J49" s="10">
        <v>5.9767074774870199E-3</v>
      </c>
      <c r="K49" s="10">
        <v>-1.6360407770140695E-3</v>
      </c>
      <c r="L49" s="10">
        <v>3.6459699141472734E-2</v>
      </c>
      <c r="M49" s="10">
        <v>1.3088602358862556E-2</v>
      </c>
      <c r="N49" s="10">
        <v>0.40303079404559994</v>
      </c>
      <c r="O49" s="10">
        <v>8.4815714708271983E-2</v>
      </c>
      <c r="P49" s="10">
        <v>6.9499485170396058E-2</v>
      </c>
      <c r="Q49" s="10">
        <v>7.5054140977615091E-2</v>
      </c>
      <c r="R49" s="10">
        <v>9.3025493036464679E-2</v>
      </c>
      <c r="S49" s="10">
        <v>1.1339911918554879E-2</v>
      </c>
      <c r="T49" s="10">
        <v>0.12160559483952293</v>
      </c>
      <c r="U49" s="10">
        <v>2.7953016030329403E-2</v>
      </c>
      <c r="V49" s="10">
        <v>4.8079454469075023E-2</v>
      </c>
      <c r="W49" s="10">
        <v>2.8928480993133387E-3</v>
      </c>
      <c r="X49" s="10">
        <v>7.9689409733426197E-2</v>
      </c>
      <c r="Y49" s="10">
        <v>0.13673248196346188</v>
      </c>
      <c r="Z49" s="10">
        <v>6.3658311745200535E-2</v>
      </c>
      <c r="AA49" s="10">
        <v>6.7794730920547996E-2</v>
      </c>
      <c r="AB49" s="10">
        <v>2.0726659597624986E-2</v>
      </c>
      <c r="AC49" s="2">
        <v>3.634172832727911E-2</v>
      </c>
      <c r="AD49" s="2">
        <v>0.14456248915650916</v>
      </c>
      <c r="AE49" s="2">
        <v>8.1021385219888886E-2</v>
      </c>
      <c r="AF49" s="2">
        <v>0.28329962424653821</v>
      </c>
      <c r="AG49" s="2">
        <v>0.29243323883712757</v>
      </c>
      <c r="AH49" s="2">
        <v>0.28756167013490597</v>
      </c>
      <c r="AI49" s="2">
        <v>0.10426763485681567</v>
      </c>
      <c r="AJ49" s="2">
        <v>0.15832655193952005</v>
      </c>
      <c r="AK49" s="2">
        <v>6.3499998477959396E-2</v>
      </c>
      <c r="AL49" s="2">
        <v>9.9443946844729458E-2</v>
      </c>
      <c r="AM49" s="2">
        <v>0.15433452538309678</v>
      </c>
      <c r="AN49" s="2">
        <v>0.12309838203487677</v>
      </c>
    </row>
    <row r="50" spans="1:40" x14ac:dyDescent="0.25">
      <c r="A50" s="1">
        <f t="shared" si="0"/>
        <v>41061</v>
      </c>
      <c r="B50" s="10">
        <v>0.16342505797798212</v>
      </c>
      <c r="C50" s="10">
        <v>0.11504418946052297</v>
      </c>
      <c r="D50" s="10">
        <v>5.8542004122093871E-2</v>
      </c>
      <c r="E50" s="10">
        <v>5.7512534047025943E-2</v>
      </c>
      <c r="F50" s="10">
        <v>0.26224254060735319</v>
      </c>
      <c r="G50" s="10">
        <v>4.8137754363930529E-2</v>
      </c>
      <c r="H50" s="10">
        <v>1.9921537690394731E-2</v>
      </c>
      <c r="I50" s="10">
        <v>2.7308234905633055E-2</v>
      </c>
      <c r="J50" s="10">
        <v>6.0137463928375823E-3</v>
      </c>
      <c r="K50" s="10">
        <v>-1.7959437315670845E-2</v>
      </c>
      <c r="L50" s="10">
        <v>2.5246111803106208E-2</v>
      </c>
      <c r="M50" s="10">
        <v>-1.6297526769508019E-2</v>
      </c>
      <c r="N50" s="10">
        <v>9.2530254438843107E-2</v>
      </c>
      <c r="O50" s="10">
        <v>6.4014677583106083E-2</v>
      </c>
      <c r="P50" s="10">
        <v>0.1011117382468314</v>
      </c>
      <c r="Q50" s="10">
        <v>-3.0923612533278688E-2</v>
      </c>
      <c r="R50" s="10">
        <v>9.9859971408466919E-3</v>
      </c>
      <c r="S50" s="10">
        <v>8.4961198822586237E-3</v>
      </c>
      <c r="T50" s="10">
        <v>0.12256550834535118</v>
      </c>
      <c r="U50" s="10">
        <v>2.6956978799526077E-2</v>
      </c>
      <c r="V50" s="10">
        <v>-1.4038279558586053E-2</v>
      </c>
      <c r="W50" s="10">
        <v>1.285256801582646E-2</v>
      </c>
      <c r="X50" s="10">
        <v>-5.3515893628664268E-2</v>
      </c>
      <c r="Y50" s="10">
        <v>0.14389597212212957</v>
      </c>
      <c r="Z50" s="10">
        <v>7.557295291975441E-2</v>
      </c>
      <c r="AA50" s="10">
        <v>6.312579201324664E-2</v>
      </c>
      <c r="AB50" s="10">
        <v>9.6277015799178578E-2</v>
      </c>
      <c r="AC50" s="2">
        <v>6.2398753924703287E-2</v>
      </c>
      <c r="AD50" s="2">
        <v>0.12466219799389466</v>
      </c>
      <c r="AE50" s="2">
        <v>0.11520371081461289</v>
      </c>
      <c r="AF50" s="2">
        <v>0.25754042415635281</v>
      </c>
      <c r="AG50" s="2">
        <v>0.26322743628124723</v>
      </c>
      <c r="AH50" s="2">
        <v>0.25959533322411787</v>
      </c>
      <c r="AI50" s="2">
        <v>0.12931738332184106</v>
      </c>
      <c r="AJ50" s="2">
        <v>9.7459846119145377E-2</v>
      </c>
      <c r="AK50" s="2">
        <v>7.1637705272207253E-3</v>
      </c>
      <c r="AL50" s="2">
        <v>5.4038567336469612E-2</v>
      </c>
      <c r="AM50" s="2">
        <v>9.4526059690597908E-2</v>
      </c>
      <c r="AN50" s="2">
        <v>0.1060229281265499</v>
      </c>
    </row>
    <row r="51" spans="1:40" x14ac:dyDescent="0.25">
      <c r="A51" s="1">
        <f t="shared" si="0"/>
        <v>41153</v>
      </c>
      <c r="B51" s="10">
        <v>0.16035113916709598</v>
      </c>
      <c r="C51" s="10">
        <v>7.1906013457554208E-2</v>
      </c>
      <c r="D51" s="10">
        <v>9.4224539628567694E-2</v>
      </c>
      <c r="E51" s="10">
        <v>9.5410510445913754E-2</v>
      </c>
      <c r="F51" s="10">
        <v>2.3859040640123785E-2</v>
      </c>
      <c r="G51" s="10">
        <v>0.13592425481461134</v>
      </c>
      <c r="H51" s="10">
        <v>2.2331212740429596E-2</v>
      </c>
      <c r="I51" s="10">
        <v>2.7905334457446695E-2</v>
      </c>
      <c r="J51" s="10">
        <v>1.2034375105003159E-2</v>
      </c>
      <c r="K51" s="10">
        <v>2.5853570160974115E-2</v>
      </c>
      <c r="L51" s="10">
        <v>2.1216732454603093E-2</v>
      </c>
      <c r="M51" s="10">
        <v>-1.8449960600648185E-2</v>
      </c>
      <c r="N51" s="10">
        <v>0.26771321396313152</v>
      </c>
      <c r="O51" s="10">
        <v>5.2341615076231696E-2</v>
      </c>
      <c r="P51" s="10">
        <v>7.7650584087660235E-2</v>
      </c>
      <c r="Q51" s="10">
        <v>-3.0559478233798898E-2</v>
      </c>
      <c r="R51" s="10">
        <v>-7.5283530382465047E-3</v>
      </c>
      <c r="S51" s="10">
        <v>4.7605268576071946E-3</v>
      </c>
      <c r="T51" s="10">
        <v>9.9762224420316459E-2</v>
      </c>
      <c r="U51" s="10">
        <v>2.0843307295290492E-2</v>
      </c>
      <c r="V51" s="10">
        <v>-1.4486533490856712E-2</v>
      </c>
      <c r="W51" s="10">
        <v>2.4750008614180086E-2</v>
      </c>
      <c r="X51" s="10">
        <v>1.7841125725115425E-3</v>
      </c>
      <c r="Y51" s="10">
        <v>-3.7831441512738873E-2</v>
      </c>
      <c r="Z51" s="10">
        <v>7.5853034163932964E-2</v>
      </c>
      <c r="AA51" s="10">
        <v>9.650712003494899E-2</v>
      </c>
      <c r="AB51" s="10">
        <v>0.10648114772380035</v>
      </c>
      <c r="AC51" s="2">
        <v>6.6131186014068311E-2</v>
      </c>
      <c r="AD51" s="2">
        <v>8.8130825338811336E-2</v>
      </c>
      <c r="AE51" s="2">
        <v>7.1100264317400352E-2</v>
      </c>
      <c r="AF51" s="2">
        <v>-0.2156610706166967</v>
      </c>
      <c r="AG51" s="2">
        <v>-0.23402303637180011</v>
      </c>
      <c r="AH51" s="2">
        <v>-0.21115777347308806</v>
      </c>
      <c r="AI51" s="2">
        <v>8.7668840928620373E-2</v>
      </c>
      <c r="AJ51" s="2">
        <v>2.942074180317289E-2</v>
      </c>
      <c r="AK51" s="2">
        <v>4.3986095000203562E-3</v>
      </c>
      <c r="AL51" s="2">
        <v>-0.2429570487947007</v>
      </c>
      <c r="AM51" s="2">
        <v>1.6977701041303028E-2</v>
      </c>
      <c r="AN51" s="2">
        <v>-8.9072802456211519E-3</v>
      </c>
    </row>
    <row r="52" spans="1:40" x14ac:dyDescent="0.25">
      <c r="A52" s="1">
        <f t="shared" si="0"/>
        <v>41244</v>
      </c>
      <c r="B52" s="10">
        <v>0.15496576406180096</v>
      </c>
      <c r="C52" s="10">
        <v>-6.4257608013912337E-3</v>
      </c>
      <c r="D52" s="10">
        <v>1.0089977690058038E-2</v>
      </c>
      <c r="E52" s="10">
        <v>9.5064941351228338E-3</v>
      </c>
      <c r="F52" s="10">
        <v>7.9945391440583879E-2</v>
      </c>
      <c r="G52" s="10">
        <v>0.18311450785581806</v>
      </c>
      <c r="H52" s="10">
        <v>3.3687012997526411E-2</v>
      </c>
      <c r="I52" s="10">
        <v>4.1090201902211243E-2</v>
      </c>
      <c r="J52" s="10">
        <v>1.9623476485401969E-2</v>
      </c>
      <c r="K52" s="10">
        <v>2.9342088580141867E-2</v>
      </c>
      <c r="L52" s="10">
        <v>4.7867841538915323E-2</v>
      </c>
      <c r="M52" s="10">
        <v>-1.2363184771225444E-2</v>
      </c>
      <c r="N52" s="10">
        <v>0.31759643535304694</v>
      </c>
      <c r="O52" s="10">
        <v>5.0284381557488933E-2</v>
      </c>
      <c r="P52" s="10">
        <v>5.2054486335205263E-2</v>
      </c>
      <c r="Q52" s="10">
        <v>7.2338768848359436E-2</v>
      </c>
      <c r="R52" s="10">
        <v>6.5866757356119132E-2</v>
      </c>
      <c r="S52" s="10">
        <v>9.19910088945608E-3</v>
      </c>
      <c r="T52" s="10">
        <v>9.3034641173346921E-2</v>
      </c>
      <c r="U52" s="10">
        <v>4.1417247222268472E-3</v>
      </c>
      <c r="V52" s="10">
        <v>3.2996678083270892E-2</v>
      </c>
      <c r="W52" s="10">
        <v>6.1456737413345675E-3</v>
      </c>
      <c r="X52" s="10">
        <v>-1.1675367821547322E-2</v>
      </c>
      <c r="Y52" s="10">
        <v>2.3209936086597827E-2</v>
      </c>
      <c r="Z52" s="10">
        <v>8.5510186158861856E-2</v>
      </c>
      <c r="AA52" s="10">
        <v>0.12345094730206174</v>
      </c>
      <c r="AB52" s="10">
        <v>0.19939863753817244</v>
      </c>
      <c r="AC52" s="2">
        <v>7.9118344785364059E-2</v>
      </c>
      <c r="AD52" s="2">
        <v>1.4610103822966902E-2</v>
      </c>
      <c r="AE52" s="2">
        <v>6.980663596248915E-2</v>
      </c>
      <c r="AF52" s="2">
        <v>-5.7177417808986997E-2</v>
      </c>
      <c r="AG52" s="2">
        <v>-5.8816652182049789E-2</v>
      </c>
      <c r="AH52" s="2">
        <v>-6.5614759063932881E-2</v>
      </c>
      <c r="AI52" s="2">
        <v>8.8108414424577619E-2</v>
      </c>
      <c r="AJ52" s="2">
        <v>4.3518016334112009E-2</v>
      </c>
      <c r="AK52" s="2">
        <v>7.779404198051787E-2</v>
      </c>
      <c r="AL52" s="2">
        <v>0.40380471536231499</v>
      </c>
      <c r="AM52" s="2">
        <v>5.7984584669497741E-2</v>
      </c>
      <c r="AN52" s="2">
        <v>7.3616524229676905E-2</v>
      </c>
    </row>
    <row r="53" spans="1:40" x14ac:dyDescent="0.25">
      <c r="A53" s="1">
        <f t="shared" si="0"/>
        <v>41334</v>
      </c>
      <c r="B53" s="10">
        <v>8.5560500449106902E-2</v>
      </c>
      <c r="C53" s="10">
        <v>-1.6525863773088734E-2</v>
      </c>
      <c r="D53" s="10">
        <v>-3.0012352592779235E-2</v>
      </c>
      <c r="E53" s="10">
        <v>-2.9903688154359065E-2</v>
      </c>
      <c r="F53" s="10">
        <v>6.3680837473170548E-2</v>
      </c>
      <c r="G53" s="10">
        <v>2.7114001221481887E-2</v>
      </c>
      <c r="H53" s="10">
        <v>1.5327206487522282E-2</v>
      </c>
      <c r="I53" s="10">
        <v>2.8456606991915212E-2</v>
      </c>
      <c r="J53" s="10">
        <v>-8.8791117561090038E-3</v>
      </c>
      <c r="K53" s="10">
        <v>1.9428345169720584E-2</v>
      </c>
      <c r="L53" s="10">
        <v>6.8143586160170244E-2</v>
      </c>
      <c r="M53" s="10">
        <v>1.0748974413652856E-2</v>
      </c>
      <c r="N53" s="10">
        <v>5.7439865772004994E-2</v>
      </c>
      <c r="O53" s="10">
        <v>5.7333186984234619E-2</v>
      </c>
      <c r="P53" s="10">
        <v>5.7824994207853697E-2</v>
      </c>
      <c r="Q53" s="10">
        <v>-1.6171510419072943E-3</v>
      </c>
      <c r="R53" s="10">
        <v>1.3348588793442362E-2</v>
      </c>
      <c r="S53" s="10">
        <v>1.4127821487367687E-2</v>
      </c>
      <c r="T53" s="10">
        <v>4.4643110397813324E-2</v>
      </c>
      <c r="U53" s="10">
        <v>-1.9770998858597122E-2</v>
      </c>
      <c r="V53" s="10">
        <v>-6.2979115980077438E-4</v>
      </c>
      <c r="W53" s="10">
        <v>4.2592715407503645E-2</v>
      </c>
      <c r="X53" s="10">
        <v>5.33867785778257E-2</v>
      </c>
      <c r="Y53" s="10">
        <v>2.8194901592210275E-2</v>
      </c>
      <c r="Z53" s="10">
        <v>9.7663635230493817E-2</v>
      </c>
      <c r="AA53" s="10">
        <v>0.10747719176227721</v>
      </c>
      <c r="AB53" s="10">
        <v>0.16509153401057408</v>
      </c>
      <c r="AC53" s="2">
        <v>0.15543524633588635</v>
      </c>
      <c r="AD53" s="2">
        <v>-1.5522435253600975E-5</v>
      </c>
      <c r="AE53" s="2">
        <v>3.1068086925969851E-2</v>
      </c>
      <c r="AF53" s="2">
        <v>-8.8965247063578334E-2</v>
      </c>
      <c r="AG53" s="2">
        <v>-9.114633848456577E-2</v>
      </c>
      <c r="AH53" s="2">
        <v>-0.10053918477859214</v>
      </c>
      <c r="AI53" s="2">
        <v>7.311214055691595E-2</v>
      </c>
      <c r="AJ53" s="2">
        <v>2.1864148388838878E-2</v>
      </c>
      <c r="AK53" s="2">
        <v>8.179384916186283E-2</v>
      </c>
      <c r="AL53" s="2">
        <v>6.1258915452895968E-2</v>
      </c>
      <c r="AM53" s="2">
        <v>2.4191993533322576E-2</v>
      </c>
      <c r="AN53" s="2">
        <v>4.2075956591131947E-2</v>
      </c>
    </row>
    <row r="54" spans="1:40" x14ac:dyDescent="0.25">
      <c r="A54" s="1">
        <f t="shared" si="0"/>
        <v>41426</v>
      </c>
      <c r="B54" s="10">
        <v>1.3517328466469136E-2</v>
      </c>
      <c r="C54" s="10">
        <v>-0.11043845322890034</v>
      </c>
      <c r="D54" s="10">
        <v>-5.6967801717218713E-2</v>
      </c>
      <c r="E54" s="10">
        <v>-5.7185274563579802E-2</v>
      </c>
      <c r="F54" s="10">
        <v>6.4519442911150859E-2</v>
      </c>
      <c r="G54" s="10">
        <v>-6.0658245792257426E-2</v>
      </c>
      <c r="H54" s="10">
        <v>1.9740405284334406E-2</v>
      </c>
      <c r="I54" s="10">
        <v>3.4957895540834949E-2</v>
      </c>
      <c r="J54" s="10">
        <v>-8.8232175020492853E-3</v>
      </c>
      <c r="K54" s="10">
        <v>3.2461323453639945E-2</v>
      </c>
      <c r="L54" s="10">
        <v>8.2671210776800841E-2</v>
      </c>
      <c r="M54" s="10">
        <v>3.6511725299095632E-2</v>
      </c>
      <c r="N54" s="10">
        <v>-0.13943192315953512</v>
      </c>
      <c r="O54" s="10">
        <v>6.987059076763491E-2</v>
      </c>
      <c r="P54" s="10">
        <v>2.3856072335761702E-3</v>
      </c>
      <c r="Q54" s="10">
        <v>6.0521239529373938E-2</v>
      </c>
      <c r="R54" s="10">
        <v>5.3439700730745443E-2</v>
      </c>
      <c r="S54" s="10">
        <v>1.3634245192442496E-2</v>
      </c>
      <c r="T54" s="10">
        <v>2.1637932965364204E-2</v>
      </c>
      <c r="U54" s="10">
        <v>-3.1097059746264422E-2</v>
      </c>
      <c r="V54" s="10">
        <v>3.9006187783011681E-2</v>
      </c>
      <c r="W54" s="10">
        <v>1.9683808491791632E-2</v>
      </c>
      <c r="X54" s="10">
        <v>0.12588608647824651</v>
      </c>
      <c r="Y54" s="10">
        <v>-5.9900107036090167E-2</v>
      </c>
      <c r="Z54" s="10">
        <v>7.9968884396128592E-2</v>
      </c>
      <c r="AA54" s="10">
        <v>9.5793771138885431E-2</v>
      </c>
      <c r="AB54" s="10">
        <v>0.14404879292431749</v>
      </c>
      <c r="AC54" s="2">
        <v>0.15493332470618459</v>
      </c>
      <c r="AD54" s="2">
        <v>-9.0894481644092306E-2</v>
      </c>
      <c r="AE54" s="2">
        <v>3.2026031661804844E-3</v>
      </c>
      <c r="AF54" s="2">
        <v>-0.26022242571891274</v>
      </c>
      <c r="AG54" s="2">
        <v>-0.272679039339772</v>
      </c>
      <c r="AH54" s="2">
        <v>-0.26368972074185237</v>
      </c>
      <c r="AI54" s="2">
        <v>4.2044028401087896E-2</v>
      </c>
      <c r="AJ54" s="2">
        <v>-3.074045026555472E-2</v>
      </c>
      <c r="AK54" s="2">
        <v>5.2969647403859232E-2</v>
      </c>
      <c r="AL54" s="2">
        <v>1.5748694927649298E-2</v>
      </c>
      <c r="AM54" s="2">
        <v>-2.729276501747846E-2</v>
      </c>
      <c r="AN54" s="2">
        <v>-1.9681285900744805E-2</v>
      </c>
    </row>
    <row r="55" spans="1:40" x14ac:dyDescent="0.25">
      <c r="A55" s="1">
        <f t="shared" si="0"/>
        <v>41518</v>
      </c>
      <c r="B55" s="10">
        <v>4.616299336534202E-2</v>
      </c>
      <c r="C55" s="10">
        <v>4.1563005325476299E-2</v>
      </c>
      <c r="D55" s="10">
        <v>-0.10758872324462598</v>
      </c>
      <c r="E55" s="10">
        <v>-0.10899024577823546</v>
      </c>
      <c r="F55" s="10">
        <v>0.19836455868006908</v>
      </c>
      <c r="G55" s="10">
        <v>-4.091950639929498E-2</v>
      </c>
      <c r="H55" s="10">
        <v>1.9065511100812449E-2</v>
      </c>
      <c r="I55" s="10">
        <v>2.7746204848501321E-2</v>
      </c>
      <c r="J55" s="10">
        <v>2.9659672851509722E-3</v>
      </c>
      <c r="K55" s="10">
        <v>2.2338511142973694E-2</v>
      </c>
      <c r="L55" s="10">
        <v>9.5427270670090492E-2</v>
      </c>
      <c r="M55" s="10">
        <v>5.1656466311253757E-2</v>
      </c>
      <c r="N55" s="10">
        <v>-9.5925431141985484E-2</v>
      </c>
      <c r="O55" s="10">
        <v>8.566607066697296E-2</v>
      </c>
      <c r="P55" s="10">
        <v>-2.2787295734559954E-2</v>
      </c>
      <c r="Q55" s="10">
        <v>4.7583024424990628E-2</v>
      </c>
      <c r="R55" s="10">
        <v>2.2016986077711076E-2</v>
      </c>
      <c r="S55" s="10">
        <v>1.0282848685734036E-2</v>
      </c>
      <c r="T55" s="10">
        <v>4.447010916063121E-2</v>
      </c>
      <c r="U55" s="10">
        <v>-2.9636814864997252E-2</v>
      </c>
      <c r="V55" s="10">
        <v>2.1498925962239346E-2</v>
      </c>
      <c r="W55" s="10">
        <v>4.3118460677225245E-2</v>
      </c>
      <c r="X55" s="10">
        <v>9.8394477751996057E-2</v>
      </c>
      <c r="Y55" s="10">
        <v>0.12805731545927457</v>
      </c>
      <c r="Z55" s="10">
        <v>9.6996752608196957E-2</v>
      </c>
      <c r="AA55" s="10">
        <v>4.8784367893872416E-2</v>
      </c>
      <c r="AB55" s="10">
        <v>0.13367675122405975</v>
      </c>
      <c r="AC55" s="2">
        <v>0.18679798166513417</v>
      </c>
      <c r="AD55" s="2">
        <v>4.7143829660766912E-2</v>
      </c>
      <c r="AE55" s="2">
        <v>5.2460018695739352E-2</v>
      </c>
      <c r="AF55" s="2">
        <v>0.19413647032096848</v>
      </c>
      <c r="AG55" s="2">
        <v>0.22707911683747506</v>
      </c>
      <c r="AH55" s="2">
        <v>0.15714119121963388</v>
      </c>
      <c r="AI55" s="2">
        <v>5.8177663971005211E-2</v>
      </c>
      <c r="AJ55" s="2">
        <v>4.2948775157342078E-2</v>
      </c>
      <c r="AK55" s="2">
        <v>-1.515163321970614E-2</v>
      </c>
      <c r="AL55" s="2">
        <v>0.32814963862006286</v>
      </c>
      <c r="AM55" s="2">
        <v>5.1272053298305309E-2</v>
      </c>
      <c r="AN55" s="2">
        <v>9.582483021177346E-2</v>
      </c>
    </row>
    <row r="56" spans="1:40" x14ac:dyDescent="0.25">
      <c r="A56" s="1">
        <f t="shared" si="0"/>
        <v>41609</v>
      </c>
      <c r="B56" s="10">
        <v>5.6381250264750937E-2</v>
      </c>
      <c r="C56" s="10">
        <v>-4.1770472121166025E-2</v>
      </c>
      <c r="D56" s="10">
        <v>-2.4518008450012174E-2</v>
      </c>
      <c r="E56" s="10">
        <v>-2.5048473474804545E-2</v>
      </c>
      <c r="F56" s="10">
        <v>1.0779785291406441E-2</v>
      </c>
      <c r="G56" s="10">
        <v>-5.4575693075699205E-2</v>
      </c>
      <c r="H56" s="10">
        <v>3.514892310697082E-2</v>
      </c>
      <c r="I56" s="10">
        <v>3.4852723430395915E-2</v>
      </c>
      <c r="J56" s="10">
        <v>3.5704270796722337E-2</v>
      </c>
      <c r="K56" s="10">
        <v>6.0080287551844025E-2</v>
      </c>
      <c r="L56" s="10">
        <v>0.10128448898531439</v>
      </c>
      <c r="M56" s="10">
        <v>7.4272782848063379E-2</v>
      </c>
      <c r="N56" s="10">
        <v>-0.13259780278248501</v>
      </c>
      <c r="O56" s="10">
        <v>0.10064877257751625</v>
      </c>
      <c r="P56" s="10">
        <v>8.4492850222550597E-3</v>
      </c>
      <c r="Q56" s="10">
        <v>-2.057947604918009E-2</v>
      </c>
      <c r="R56" s="10">
        <v>-2.417025313256882E-2</v>
      </c>
      <c r="S56" s="10">
        <v>-4.4722314516266737E-3</v>
      </c>
      <c r="T56" s="10">
        <v>1.9885968433992485E-2</v>
      </c>
      <c r="U56" s="10">
        <v>-8.9286935298067416E-3</v>
      </c>
      <c r="V56" s="10">
        <v>-5.6385754083549955E-3</v>
      </c>
      <c r="W56" s="10">
        <v>3.239594907842358E-2</v>
      </c>
      <c r="X56" s="10">
        <v>3.230297200806409E-2</v>
      </c>
      <c r="Y56" s="10">
        <v>9.4698678568361228E-3</v>
      </c>
      <c r="Z56" s="10">
        <v>6.2489861085289755E-2</v>
      </c>
      <c r="AA56" s="10">
        <v>2.2119180098660651E-2</v>
      </c>
      <c r="AB56" s="10">
        <v>0.10768043999505683</v>
      </c>
      <c r="AC56" s="2">
        <v>0.14265629769527099</v>
      </c>
      <c r="AD56" s="2">
        <v>-3.4791259417477072E-2</v>
      </c>
      <c r="AE56" s="2">
        <v>5.6111332197199992E-2</v>
      </c>
      <c r="AF56" s="2">
        <v>-7.2412619789734345E-2</v>
      </c>
      <c r="AG56" s="2">
        <v>-7.262825108655846E-2</v>
      </c>
      <c r="AH56" s="2">
        <v>-7.9852667913423492E-2</v>
      </c>
      <c r="AI56" s="2">
        <v>1.2847157891448191E-2</v>
      </c>
      <c r="AJ56" s="2">
        <v>3.3744838533438237E-3</v>
      </c>
      <c r="AK56" s="2">
        <v>-3.1411084327746308E-2</v>
      </c>
      <c r="AL56" s="2">
        <v>-0.20134512411094274</v>
      </c>
      <c r="AM56" s="2">
        <v>-8.0510849224152414E-3</v>
      </c>
      <c r="AN56" s="2">
        <v>-3.4517831416313038E-3</v>
      </c>
    </row>
    <row r="57" spans="1:40" x14ac:dyDescent="0.25">
      <c r="A57" s="1">
        <f t="shared" si="0"/>
        <v>41699</v>
      </c>
      <c r="B57" s="10">
        <v>4.1512613246388108E-2</v>
      </c>
      <c r="C57" s="10">
        <v>-8.2810475338001122E-2</v>
      </c>
      <c r="D57" s="10">
        <v>-6.1147583637969904E-2</v>
      </c>
      <c r="E57" s="10">
        <v>-6.167448374909823E-2</v>
      </c>
      <c r="F57" s="10">
        <v>-2.2709991432704912E-2</v>
      </c>
      <c r="G57" s="10">
        <v>-2.4165036957216501E-2</v>
      </c>
      <c r="H57" s="10">
        <v>6.0841437511748309E-2</v>
      </c>
      <c r="I57" s="10">
        <v>5.1099912840033346E-2</v>
      </c>
      <c r="J57" s="10">
        <v>7.8996721543958648E-2</v>
      </c>
      <c r="K57" s="10">
        <v>6.0999417933160993E-2</v>
      </c>
      <c r="L57" s="10">
        <v>8.4473410997623732E-2</v>
      </c>
      <c r="M57" s="10">
        <v>8.2250821569988197E-2</v>
      </c>
      <c r="N57" s="10">
        <v>-0.11042170125786255</v>
      </c>
      <c r="O57" s="10">
        <v>0.11480075372637111</v>
      </c>
      <c r="P57" s="10">
        <v>-9.564551350773387E-3</v>
      </c>
      <c r="Q57" s="10">
        <v>5.6281510521362543E-2</v>
      </c>
      <c r="R57" s="10">
        <v>2.4229564075932908E-2</v>
      </c>
      <c r="S57" s="10">
        <v>-2.6911050930832014E-2</v>
      </c>
      <c r="T57" s="10">
        <v>5.0336658981122495E-2</v>
      </c>
      <c r="U57" s="10">
        <v>2.3084350024517475E-2</v>
      </c>
      <c r="V57" s="10">
        <v>4.3737357251939057E-2</v>
      </c>
      <c r="W57" s="10">
        <v>2.6106024366637115E-2</v>
      </c>
      <c r="X57" s="10">
        <v>9.1345087868781372E-2</v>
      </c>
      <c r="Y57" s="10">
        <v>2.4081360280910014E-2</v>
      </c>
      <c r="Z57" s="10">
        <v>1.951214887225361E-2</v>
      </c>
      <c r="AA57" s="10">
        <v>-1.7428203518832563E-2</v>
      </c>
      <c r="AB57" s="10">
        <v>0.12378021968278818</v>
      </c>
      <c r="AC57" s="2">
        <v>3.3877545650063068E-2</v>
      </c>
      <c r="AD57" s="2">
        <v>-7.9794271309494458E-2</v>
      </c>
      <c r="AE57" s="2">
        <v>0.10700732999423557</v>
      </c>
      <c r="AF57" s="2">
        <v>3.1608521902289466E-2</v>
      </c>
      <c r="AG57" s="2">
        <v>3.4004988761807908E-2</v>
      </c>
      <c r="AH57" s="2">
        <v>2.9763228391358254E-2</v>
      </c>
      <c r="AI57" s="2">
        <v>1.129818568191876E-2</v>
      </c>
      <c r="AJ57" s="2">
        <v>1.7577358260850273E-2</v>
      </c>
      <c r="AK57" s="2">
        <v>-3.1423330114576875E-2</v>
      </c>
      <c r="AL57" s="2">
        <v>-1.4995432281210586E-2</v>
      </c>
      <c r="AM57" s="2">
        <v>1.5133063106017142E-2</v>
      </c>
      <c r="AN57" s="2">
        <v>3.2555719700598784E-2</v>
      </c>
    </row>
    <row r="58" spans="1:40" x14ac:dyDescent="0.25">
      <c r="A58" s="1">
        <f t="shared" si="0"/>
        <v>41791</v>
      </c>
      <c r="B58" s="10">
        <v>8.1667090441695844E-2</v>
      </c>
      <c r="C58" s="10">
        <v>4.5057900956324115E-2</v>
      </c>
      <c r="D58" s="10">
        <v>4.094097491262727E-2</v>
      </c>
      <c r="E58" s="10">
        <v>4.1535850220097315E-2</v>
      </c>
      <c r="F58" s="10">
        <v>9.2999552498840288E-3</v>
      </c>
      <c r="G58" s="10">
        <v>0.11562241500978288</v>
      </c>
      <c r="H58" s="10">
        <v>6.2705753290800859E-2</v>
      </c>
      <c r="I58" s="10">
        <v>4.2414915824340538E-2</v>
      </c>
      <c r="J58" s="10">
        <v>0.10091800377974502</v>
      </c>
      <c r="K58" s="10">
        <v>8.4020507175588177E-2</v>
      </c>
      <c r="L58" s="10">
        <v>5.6739005094994965E-2</v>
      </c>
      <c r="M58" s="10">
        <v>6.5835745683515912E-2</v>
      </c>
      <c r="N58" s="10">
        <v>0.19768198403560189</v>
      </c>
      <c r="O58" s="10">
        <v>0.10014605345024963</v>
      </c>
      <c r="P58" s="10">
        <v>-3.1956809317318702E-2</v>
      </c>
      <c r="Q58" s="10">
        <v>7.6851916689772537E-2</v>
      </c>
      <c r="R58" s="10">
        <v>-1.5258360002300964E-2</v>
      </c>
      <c r="S58" s="10">
        <v>6.6552562044908115E-5</v>
      </c>
      <c r="T58" s="10">
        <v>8.6143320023986281E-2</v>
      </c>
      <c r="U58" s="10">
        <v>3.3562190111471546E-2</v>
      </c>
      <c r="V58" s="10">
        <v>8.6566918216472999E-3</v>
      </c>
      <c r="W58" s="10">
        <v>2.3254097278812003E-2</v>
      </c>
      <c r="X58" s="10">
        <v>0.10961023717499896</v>
      </c>
      <c r="Y58" s="10">
        <v>-1.7684047319429741E-2</v>
      </c>
      <c r="Z58" s="10">
        <v>1.6941022515413406E-2</v>
      </c>
      <c r="AA58" s="10">
        <v>-3.3488202104485776E-3</v>
      </c>
      <c r="AB58" s="10">
        <v>0.10668425433121609</v>
      </c>
      <c r="AC58" s="2">
        <v>-1.7950033312657987E-2</v>
      </c>
      <c r="AD58" s="2">
        <v>3.4218091938348127E-2</v>
      </c>
      <c r="AE58" s="2">
        <v>0.11622411474640604</v>
      </c>
      <c r="AF58" s="2">
        <v>-9.3797515513038277E-2</v>
      </c>
      <c r="AG58" s="2">
        <v>-0.10593775649309622</v>
      </c>
      <c r="AH58" s="2">
        <v>-8.285922269789181E-2</v>
      </c>
      <c r="AI58" s="2">
        <v>-7.7375019377036169E-3</v>
      </c>
      <c r="AJ58" s="2">
        <v>2.9348815218250612E-2</v>
      </c>
      <c r="AK58" s="2">
        <v>-3.1315072756713525E-3</v>
      </c>
      <c r="AL58" s="2">
        <v>8.6169483591693741E-3</v>
      </c>
      <c r="AM58" s="2">
        <v>2.7588454580147248E-2</v>
      </c>
      <c r="AN58" s="2">
        <v>2.4573587172401545E-2</v>
      </c>
    </row>
    <row r="59" spans="1:40" x14ac:dyDescent="0.25">
      <c r="A59" s="1">
        <f t="shared" si="0"/>
        <v>41883</v>
      </c>
      <c r="B59" s="10">
        <v>4.1732428246119779E-2</v>
      </c>
      <c r="C59" s="10">
        <v>-0.10913184416772237</v>
      </c>
      <c r="D59" s="10">
        <v>1.9026864778195485E-3</v>
      </c>
      <c r="E59" s="10">
        <v>1.6350682850818643E-3</v>
      </c>
      <c r="F59" s="10">
        <v>-8.6182213823512432E-3</v>
      </c>
      <c r="G59" s="10">
        <v>-7.5933574504224444E-3</v>
      </c>
      <c r="H59" s="10">
        <v>5.4842908026069948E-2</v>
      </c>
      <c r="I59" s="10">
        <v>3.3369091367344339E-2</v>
      </c>
      <c r="J59" s="10">
        <v>9.3785186562586942E-2</v>
      </c>
      <c r="K59" s="10">
        <v>5.575014266187317E-2</v>
      </c>
      <c r="L59" s="10">
        <v>2.4497068540934919E-2</v>
      </c>
      <c r="M59" s="10">
        <v>6.5686918033464048E-2</v>
      </c>
      <c r="N59" s="10">
        <v>-5.4318494413539309E-2</v>
      </c>
      <c r="O59" s="10">
        <v>6.4211473750940495E-2</v>
      </c>
      <c r="P59" s="10">
        <v>-4.8620245422527408E-2</v>
      </c>
      <c r="Q59" s="10">
        <v>0.11596206321490965</v>
      </c>
      <c r="R59" s="10">
        <v>1.0936825114332915E-2</v>
      </c>
      <c r="S59" s="10">
        <v>6.2973011566471282E-2</v>
      </c>
      <c r="T59" s="10">
        <v>8.1445813392142963E-2</v>
      </c>
      <c r="U59" s="10">
        <v>3.3461904973365764E-2</v>
      </c>
      <c r="V59" s="10">
        <v>2.3175524228035815E-2</v>
      </c>
      <c r="W59" s="10">
        <v>1.7090950166422925E-3</v>
      </c>
      <c r="X59" s="10">
        <v>7.023145564687705E-2</v>
      </c>
      <c r="Y59" s="10">
        <v>8.2733532901515527E-3</v>
      </c>
      <c r="Z59" s="10">
        <v>9.3858390822294524E-3</v>
      </c>
      <c r="AA59" s="10">
        <v>1.7336011711045485E-2</v>
      </c>
      <c r="AB59" s="10">
        <v>7.8077299167496728E-2</v>
      </c>
      <c r="AC59" s="2">
        <v>-1.3873198556101696E-2</v>
      </c>
      <c r="AD59" s="2">
        <v>-0.11082401051155943</v>
      </c>
      <c r="AE59" s="2">
        <v>9.9787457447232608E-2</v>
      </c>
      <c r="AF59" s="2">
        <v>4.8613808672555159E-3</v>
      </c>
      <c r="AG59" s="2">
        <v>-1.539439154593869E-3</v>
      </c>
      <c r="AH59" s="2">
        <v>1.3737159560277767E-2</v>
      </c>
      <c r="AI59" s="2">
        <v>2.5590995918397752E-2</v>
      </c>
      <c r="AJ59" s="2">
        <v>1.575136477745076E-2</v>
      </c>
      <c r="AK59" s="2">
        <v>5.2794815124794114E-2</v>
      </c>
      <c r="AL59" s="2">
        <v>8.6483702583113553E-2</v>
      </c>
      <c r="AM59" s="2">
        <v>1.9653903980803022E-2</v>
      </c>
      <c r="AN59" s="2">
        <v>2.3534299014486892E-2</v>
      </c>
    </row>
    <row r="60" spans="1:40" x14ac:dyDescent="0.25">
      <c r="A60" s="1">
        <f t="shared" si="0"/>
        <v>41974</v>
      </c>
      <c r="B60" s="10">
        <v>5.7953956349260149E-2</v>
      </c>
      <c r="C60" s="10">
        <v>-4.0972790328058117E-2</v>
      </c>
      <c r="D60" s="10">
        <v>-0.1308147942442337</v>
      </c>
      <c r="E60" s="10">
        <v>-0.13188603148532108</v>
      </c>
      <c r="F60" s="10">
        <v>-3.8064365994174953E-2</v>
      </c>
      <c r="G60" s="10">
        <v>-0.18661028535799296</v>
      </c>
      <c r="H60" s="10">
        <v>1.6302273453248528E-2</v>
      </c>
      <c r="I60" s="10">
        <v>-7.589531271719463E-3</v>
      </c>
      <c r="J60" s="10">
        <v>5.9600387240238417E-2</v>
      </c>
      <c r="K60" s="10">
        <v>2.6360791807978012E-2</v>
      </c>
      <c r="L60" s="10">
        <v>-2.408268147715642E-2</v>
      </c>
      <c r="M60" s="10">
        <v>3.0429719328443294E-2</v>
      </c>
      <c r="N60" s="10">
        <v>-0.32876299063565095</v>
      </c>
      <c r="O60" s="10">
        <v>1.3843609650968425E-2</v>
      </c>
      <c r="P60" s="10">
        <v>-0.14527577210360287</v>
      </c>
      <c r="Q60" s="10">
        <v>9.0752423785106284E-2</v>
      </c>
      <c r="R60" s="10">
        <v>2.9088781436407807E-2</v>
      </c>
      <c r="S60" s="10">
        <v>6.1108244856072247E-2</v>
      </c>
      <c r="T60" s="10">
        <v>8.1951073139167274E-2</v>
      </c>
      <c r="U60" s="10">
        <v>1.0784857005832649E-2</v>
      </c>
      <c r="V60" s="10">
        <v>7.6752603681429221E-3</v>
      </c>
      <c r="W60" s="10">
        <v>3.7080400494308607E-2</v>
      </c>
      <c r="X60" s="10">
        <v>6.0900988661692024E-2</v>
      </c>
      <c r="Y60" s="10">
        <v>6.5570451198597057E-2</v>
      </c>
      <c r="Z60" s="10">
        <v>2.8633526515633667E-2</v>
      </c>
      <c r="AA60" s="10">
        <v>2.8306609487137147E-2</v>
      </c>
      <c r="AB60" s="10">
        <v>0.14720020539028322</v>
      </c>
      <c r="AC60" s="2">
        <v>2.1513324497900443E-2</v>
      </c>
      <c r="AD60" s="2">
        <v>-5.0107765817534733E-2</v>
      </c>
      <c r="AE60" s="2">
        <v>6.2053332571298858E-2</v>
      </c>
      <c r="AF60" s="2">
        <v>0.13000297745171974</v>
      </c>
      <c r="AG60" s="2">
        <v>0.13185926702639938</v>
      </c>
      <c r="AH60" s="2">
        <v>0.13412923821510847</v>
      </c>
      <c r="AI60" s="2">
        <v>5.7583626022485346E-2</v>
      </c>
      <c r="AJ60" s="2">
        <v>2.095573379356841E-3</v>
      </c>
      <c r="AK60" s="2">
        <v>-5.5784055142360511E-2</v>
      </c>
      <c r="AL60" s="2">
        <v>-6.9178968915853067E-2</v>
      </c>
      <c r="AM60" s="2">
        <v>-1.8324586157913991E-3</v>
      </c>
      <c r="AN60" s="2">
        <v>2.3953425922086602E-2</v>
      </c>
    </row>
    <row r="61" spans="1:40" x14ac:dyDescent="0.25">
      <c r="A61" s="1">
        <f t="shared" si="0"/>
        <v>42064</v>
      </c>
      <c r="B61" s="10">
        <v>4.1059740527363164E-2</v>
      </c>
      <c r="C61" s="10">
        <v>-9.6871075513988991E-3</v>
      </c>
      <c r="D61" s="10">
        <v>-0.23051016620862685</v>
      </c>
      <c r="E61" s="10">
        <v>-0.23188295552512816</v>
      </c>
      <c r="F61" s="10">
        <v>-2.8111307587991297E-3</v>
      </c>
      <c r="G61" s="10">
        <v>-0.31082863863583532</v>
      </c>
      <c r="H61" s="10">
        <v>-1.6003476253649507E-2</v>
      </c>
      <c r="I61" s="10">
        <v>-3.9032269660329355E-2</v>
      </c>
      <c r="J61" s="10">
        <v>2.4828817878279841E-2</v>
      </c>
      <c r="K61" s="10">
        <v>1.2265138810677145E-2</v>
      </c>
      <c r="L61" s="10">
        <v>-5.3323298940302633E-2</v>
      </c>
      <c r="M61" s="10">
        <v>-1.897718551594374E-3</v>
      </c>
      <c r="N61" s="10">
        <v>-0.56277360853898695</v>
      </c>
      <c r="O61" s="10">
        <v>-5.3124435954089E-2</v>
      </c>
      <c r="P61" s="10">
        <v>-0.17894903844869514</v>
      </c>
      <c r="Q61" s="10">
        <v>8.7772153032882549E-2</v>
      </c>
      <c r="R61" s="10">
        <v>2.0174427061059763E-2</v>
      </c>
      <c r="S61" s="10">
        <v>8.9529413985145689E-2</v>
      </c>
      <c r="T61" s="10">
        <v>7.3217612815021926E-3</v>
      </c>
      <c r="U61" s="10">
        <v>-1.010483713457877E-2</v>
      </c>
      <c r="V61" s="10">
        <v>-2.0328710713003573E-2</v>
      </c>
      <c r="W61" s="10">
        <v>4.7899322933748767E-3</v>
      </c>
      <c r="X61" s="10">
        <v>5.3221013697451358E-2</v>
      </c>
      <c r="Y61" s="10">
        <v>8.1266823615551154E-3</v>
      </c>
      <c r="Z61" s="10">
        <v>2.5517153275325111E-2</v>
      </c>
      <c r="AA61" s="10">
        <v>5.4396933331321895E-2</v>
      </c>
      <c r="AB61" s="10">
        <v>0.22714214315222847</v>
      </c>
      <c r="AC61" s="2">
        <v>1.9616898126449955E-2</v>
      </c>
      <c r="AD61" s="2">
        <v>-2.2889471462731237E-2</v>
      </c>
      <c r="AE61" s="2">
        <v>-2.0652242790241804E-2</v>
      </c>
      <c r="AF61" s="2">
        <v>-2.8780346839902271E-2</v>
      </c>
      <c r="AG61" s="2">
        <v>-3.6475586150360728E-2</v>
      </c>
      <c r="AH61" s="2">
        <v>-2.4639053306906855E-2</v>
      </c>
      <c r="AI61" s="2">
        <v>5.2383258235518149E-2</v>
      </c>
      <c r="AJ61" s="2">
        <v>-5.3903037550337207E-2</v>
      </c>
      <c r="AK61" s="2">
        <v>8.0038905592783038E-4</v>
      </c>
      <c r="AL61" s="2">
        <v>2.913744460633394E-2</v>
      </c>
      <c r="AM61" s="2">
        <v>-4.9494803415190747E-2</v>
      </c>
      <c r="AN61" s="2">
        <v>-1.5892094819631719E-2</v>
      </c>
    </row>
    <row r="62" spans="1:40" x14ac:dyDescent="0.25">
      <c r="A62" s="1">
        <f t="shared" si="0"/>
        <v>42156</v>
      </c>
      <c r="B62" s="10">
        <v>2.1729283181113557E-2</v>
      </c>
      <c r="C62" s="10">
        <v>-2.0302182721642748E-2</v>
      </c>
      <c r="D62" s="10">
        <v>-0.26555806731737819</v>
      </c>
      <c r="E62" s="10">
        <v>-0.26741544530423245</v>
      </c>
      <c r="F62" s="10">
        <v>7.8019272121241379E-3</v>
      </c>
      <c r="G62" s="10">
        <v>-0.25824386978613312</v>
      </c>
      <c r="H62" s="10">
        <v>-3.1409717550232363E-2</v>
      </c>
      <c r="I62" s="10">
        <v>-5.5949010526035958E-2</v>
      </c>
      <c r="J62" s="10">
        <v>1.1136147899670767E-2</v>
      </c>
      <c r="K62" s="10">
        <v>-2.1189808080631978E-2</v>
      </c>
      <c r="L62" s="10">
        <v>-6.6716729728257373E-2</v>
      </c>
      <c r="M62" s="10">
        <v>-1.4822361710987719E-2</v>
      </c>
      <c r="N62" s="10">
        <v>-0.43605211224507212</v>
      </c>
      <c r="O62" s="10">
        <v>-9.0948157700383225E-2</v>
      </c>
      <c r="P62" s="10">
        <v>-0.17529909685023892</v>
      </c>
      <c r="Q62" s="10">
        <v>1.6187250271553433E-2</v>
      </c>
      <c r="R62" s="10">
        <v>2.924421359617102E-2</v>
      </c>
      <c r="S62" s="10">
        <v>0.10686589168237814</v>
      </c>
      <c r="T62" s="10">
        <v>-1.8537789146784611E-2</v>
      </c>
      <c r="U62" s="10">
        <v>-2.0113837114810407E-2</v>
      </c>
      <c r="V62" s="10">
        <v>-2.5660815295513228E-2</v>
      </c>
      <c r="W62" s="10">
        <v>8.8182614502454459E-3</v>
      </c>
      <c r="X62" s="10">
        <v>4.5691530497321109E-2</v>
      </c>
      <c r="Y62" s="10">
        <v>1.1514021081912462E-2</v>
      </c>
      <c r="Z62" s="10">
        <v>2.931483714090577E-2</v>
      </c>
      <c r="AA62" s="10">
        <v>4.4624983248007899E-2</v>
      </c>
      <c r="AB62" s="10">
        <v>0.19781788459067884</v>
      </c>
      <c r="AC62" s="2">
        <v>6.346936389242841E-2</v>
      </c>
      <c r="AD62" s="2">
        <v>-3.0166685562932449E-2</v>
      </c>
      <c r="AE62" s="2">
        <v>-5.7843195878412024E-2</v>
      </c>
      <c r="AF62" s="2">
        <v>-3.1965024313020285E-2</v>
      </c>
      <c r="AG62" s="2">
        <v>-4.0169273742016176E-2</v>
      </c>
      <c r="AH62" s="2">
        <v>-3.2525953917738049E-2</v>
      </c>
      <c r="AI62" s="2">
        <v>7.7022126838369731E-2</v>
      </c>
      <c r="AJ62" s="2">
        <v>-6.4133578579266715E-2</v>
      </c>
      <c r="AK62" s="2">
        <v>1.9172402755707196E-3</v>
      </c>
      <c r="AL62" s="2">
        <v>-1.1427138519550573E-2</v>
      </c>
      <c r="AM62" s="2">
        <v>-6.0270554111715779E-2</v>
      </c>
      <c r="AN62" s="2">
        <v>-1.6099017866029075E-2</v>
      </c>
    </row>
    <row r="63" spans="1:40" x14ac:dyDescent="0.25">
      <c r="A63" s="1">
        <f t="shared" si="0"/>
        <v>42248</v>
      </c>
      <c r="B63" s="10">
        <v>2.8706087542812453E-2</v>
      </c>
      <c r="C63" s="10">
        <v>-6.2815889063934094E-3</v>
      </c>
      <c r="D63" s="10">
        <v>-0.33747315391184984</v>
      </c>
      <c r="E63" s="10">
        <v>-0.33962460167476216</v>
      </c>
      <c r="F63" s="10">
        <v>-5.4831236811357487E-2</v>
      </c>
      <c r="G63" s="10">
        <v>-0.32101397340495208</v>
      </c>
      <c r="H63" s="10">
        <v>-4.2438906374436924E-2</v>
      </c>
      <c r="I63" s="10">
        <v>-7.0427078120395059E-2</v>
      </c>
      <c r="J63" s="10">
        <v>4.6842597266025798E-3</v>
      </c>
      <c r="K63" s="10">
        <v>-1.1631880496519642E-2</v>
      </c>
      <c r="L63" s="10">
        <v>-6.6764771436149117E-2</v>
      </c>
      <c r="M63" s="10">
        <v>-5.0864217792269462E-2</v>
      </c>
      <c r="N63" s="10">
        <v>-0.55443535957959678</v>
      </c>
      <c r="O63" s="10">
        <v>-0.10389001864592462</v>
      </c>
      <c r="P63" s="10">
        <v>-0.1822394641293722</v>
      </c>
      <c r="Q63" s="10">
        <v>-6.7953591216348697E-3</v>
      </c>
      <c r="R63" s="10">
        <v>-1.1821426720048267E-2</v>
      </c>
      <c r="S63" s="10">
        <v>-0.10113762782496671</v>
      </c>
      <c r="T63" s="10">
        <v>-4.56591156482552E-2</v>
      </c>
      <c r="U63" s="10">
        <v>-1.8951201796046258E-2</v>
      </c>
      <c r="V63" s="10">
        <v>-4.9302538068863311E-2</v>
      </c>
      <c r="W63" s="10">
        <v>2.4578907365540692E-2</v>
      </c>
      <c r="X63" s="10">
        <v>5.4940489347450105E-2</v>
      </c>
      <c r="Y63" s="10">
        <v>2.5411446974649143E-2</v>
      </c>
      <c r="Z63" s="10">
        <v>1.1923598460315654E-2</v>
      </c>
      <c r="AA63" s="10">
        <v>2.7264013003951204E-2</v>
      </c>
      <c r="AB63" s="10">
        <v>0.10464314132080488</v>
      </c>
      <c r="AC63" s="2">
        <v>4.2996104862359719E-2</v>
      </c>
      <c r="AD63" s="2">
        <v>-1.3128571510037212E-2</v>
      </c>
      <c r="AE63" s="2">
        <v>-7.1962729455231744E-2</v>
      </c>
      <c r="AF63" s="2">
        <v>5.3217049613295542E-2</v>
      </c>
      <c r="AG63" s="2">
        <v>5.5026141780096793E-2</v>
      </c>
      <c r="AH63" s="2">
        <v>4.8764626315677573E-2</v>
      </c>
      <c r="AI63" s="2">
        <v>6.395135471257074E-2</v>
      </c>
      <c r="AJ63" s="2">
        <v>-7.0145122609381549E-2</v>
      </c>
      <c r="AK63" s="2">
        <v>1.0570535485572519E-2</v>
      </c>
      <c r="AL63" s="2">
        <v>-1.5527770825669807E-2</v>
      </c>
      <c r="AM63" s="2">
        <v>-6.6446957149938091E-2</v>
      </c>
      <c r="AN63" s="2">
        <v>-1.2867702834809425E-2</v>
      </c>
    </row>
    <row r="64" spans="1:40" x14ac:dyDescent="0.25">
      <c r="A64" s="1">
        <f t="shared" si="0"/>
        <v>42339</v>
      </c>
      <c r="B64" s="10">
        <v>1.4346725712556907E-2</v>
      </c>
      <c r="C64" s="10">
        <v>2.048665997487209E-3</v>
      </c>
      <c r="D64" s="10">
        <v>-0.27503619176984095</v>
      </c>
      <c r="E64" s="10">
        <v>-0.27866110235889485</v>
      </c>
      <c r="F64" s="10">
        <v>0.20879546428703177</v>
      </c>
      <c r="G64" s="10">
        <v>-0.19423693565764499</v>
      </c>
      <c r="H64" s="10">
        <v>-3.2380600963926254E-2</v>
      </c>
      <c r="I64" s="10">
        <v>-5.6711914568249422E-2</v>
      </c>
      <c r="J64" s="10">
        <v>8.5397165821605725E-3</v>
      </c>
      <c r="K64" s="10">
        <v>-3.0720041920933916E-2</v>
      </c>
      <c r="L64" s="10">
        <v>-5.67023703542614E-2</v>
      </c>
      <c r="M64" s="10">
        <v>-6.1465880657328054E-2</v>
      </c>
      <c r="N64" s="10">
        <v>-0.38681989981415643</v>
      </c>
      <c r="O64" s="10">
        <v>-9.2384358118695609E-2</v>
      </c>
      <c r="P64" s="10">
        <v>-0.10434349095429252</v>
      </c>
      <c r="Q64" s="10">
        <v>1.2571510759731064E-2</v>
      </c>
      <c r="R64" s="10">
        <v>-4.6745803420713772E-2</v>
      </c>
      <c r="S64" s="10">
        <v>-3.6417369510227449E-2</v>
      </c>
      <c r="T64" s="10">
        <v>-5.6290970796269324E-2</v>
      </c>
      <c r="U64" s="10">
        <v>5.7679172773059673E-3</v>
      </c>
      <c r="V64" s="10">
        <v>-4.3425770032612387E-2</v>
      </c>
      <c r="W64" s="10">
        <v>6.0404299700964614E-2</v>
      </c>
      <c r="X64" s="10">
        <v>4.7547740719631415E-2</v>
      </c>
      <c r="Y64" s="10">
        <v>4.662898474523347E-2</v>
      </c>
      <c r="Z64" s="10">
        <v>1.2112079654176489E-2</v>
      </c>
      <c r="AA64" s="10">
        <v>4.0108795216490467E-2</v>
      </c>
      <c r="AB64" s="10">
        <v>0.14563479738072793</v>
      </c>
      <c r="AC64" s="2">
        <v>3.8889827453705283E-3</v>
      </c>
      <c r="AD64" s="2">
        <v>7.6930101286420971E-4</v>
      </c>
      <c r="AE64" s="2">
        <v>-4.3517259879687797E-2</v>
      </c>
      <c r="AF64" s="2">
        <v>0.10233825942848873</v>
      </c>
      <c r="AG64" s="2">
        <v>0.10824803969634678</v>
      </c>
      <c r="AH64" s="2">
        <v>9.6743226298254381E-2</v>
      </c>
      <c r="AI64" s="2">
        <v>5.2468576306718973E-2</v>
      </c>
      <c r="AJ64" s="2">
        <v>-2.8437053748618379E-2</v>
      </c>
      <c r="AK64" s="2">
        <v>0.13065263808847116</v>
      </c>
      <c r="AL64" s="2">
        <v>4.994212801784137E-2</v>
      </c>
      <c r="AM64" s="2">
        <v>-2.2674463363099973E-2</v>
      </c>
      <c r="AN64" s="2">
        <v>2.1357862378413417E-2</v>
      </c>
    </row>
    <row r="65" spans="1:40" x14ac:dyDescent="0.25">
      <c r="A65" s="1">
        <f t="shared" si="0"/>
        <v>42430</v>
      </c>
      <c r="B65" s="10">
        <v>3.1407313872300113E-2</v>
      </c>
      <c r="C65" s="10">
        <v>3.8285733003122546E-2</v>
      </c>
      <c r="D65" s="10">
        <v>-0.27523935481308015</v>
      </c>
      <c r="E65" s="10">
        <v>-0.27915972165375158</v>
      </c>
      <c r="F65" s="10">
        <v>0.14133343255920305</v>
      </c>
      <c r="G65" s="10">
        <v>-0.13203454490392597</v>
      </c>
      <c r="H65" s="10">
        <v>-6.0210217967664459E-3</v>
      </c>
      <c r="I65" s="10">
        <v>-2.4737548365342366E-2</v>
      </c>
      <c r="J65" s="10">
        <v>2.503880675640846E-2</v>
      </c>
      <c r="K65" s="10">
        <v>-1.1092043853104805E-3</v>
      </c>
      <c r="L65" s="10">
        <v>-1.8965222208365273E-2</v>
      </c>
      <c r="M65" s="10">
        <v>-7.505859381212876E-2</v>
      </c>
      <c r="N65" s="10">
        <v>-0.36111223569759343</v>
      </c>
      <c r="O65" s="10">
        <v>-4.8865527334117087E-2</v>
      </c>
      <c r="P65" s="10">
        <v>-5.5210104676708283E-2</v>
      </c>
      <c r="Q65" s="10">
        <v>4.740470803639818E-2</v>
      </c>
      <c r="R65" s="10">
        <v>-3.1287880141597335E-2</v>
      </c>
      <c r="S65" s="10">
        <v>-0.13757019088762357</v>
      </c>
      <c r="T65" s="10">
        <v>-6.5662799308812692E-2</v>
      </c>
      <c r="U65" s="10">
        <v>4.193240769545814E-2</v>
      </c>
      <c r="V65" s="10">
        <v>3.1206760382529897E-2</v>
      </c>
      <c r="W65" s="10">
        <v>0.12486863353097921</v>
      </c>
      <c r="X65" s="10">
        <v>4.0110108079170814E-2</v>
      </c>
      <c r="Y65" s="10">
        <v>2.8872803161685834E-2</v>
      </c>
      <c r="Z65" s="10">
        <v>3.5351980154130436E-2</v>
      </c>
      <c r="AA65" s="10">
        <v>3.9770218828544701E-2</v>
      </c>
      <c r="AB65" s="10">
        <v>6.5370598480088304E-2</v>
      </c>
      <c r="AC65" s="2">
        <v>3.1705525248946875E-2</v>
      </c>
      <c r="AD65" s="2">
        <v>4.5313628000291706E-2</v>
      </c>
      <c r="AE65" s="2">
        <v>2.0503694781076609E-2</v>
      </c>
      <c r="AF65" s="2">
        <v>1.3812511320749898E-2</v>
      </c>
      <c r="AG65" s="2">
        <v>1.4474077277633279E-2</v>
      </c>
      <c r="AH65" s="2">
        <v>8.4551809711328474E-3</v>
      </c>
      <c r="AI65" s="2">
        <v>4.6553375995965762E-2</v>
      </c>
      <c r="AJ65" s="2">
        <v>-2.4445639348179671E-2</v>
      </c>
      <c r="AK65" s="2">
        <v>8.6897746684052812E-2</v>
      </c>
      <c r="AL65" s="2">
        <v>4.9827225319492685E-2</v>
      </c>
      <c r="AM65" s="2">
        <v>-1.8299622670152949E-2</v>
      </c>
      <c r="AN65" s="2">
        <v>1.9268286482842401E-2</v>
      </c>
    </row>
    <row r="66" spans="1:40" x14ac:dyDescent="0.25">
      <c r="A66" s="1">
        <f t="shared" si="0"/>
        <v>42522</v>
      </c>
      <c r="B66" s="10">
        <v>6.319464080673165E-2</v>
      </c>
      <c r="C66" s="10">
        <v>7.5515752610864739E-2</v>
      </c>
      <c r="D66" s="10">
        <v>-0.23041871683775095</v>
      </c>
      <c r="E66" s="10">
        <v>-0.23266092458177523</v>
      </c>
      <c r="F66" s="10">
        <v>4.806255375178603E-2</v>
      </c>
      <c r="G66" s="10">
        <v>-6.0979297007526911E-2</v>
      </c>
      <c r="H66" s="10">
        <v>8.6985280506723939E-4</v>
      </c>
      <c r="I66" s="10">
        <v>-2.2474530403819304E-2</v>
      </c>
      <c r="J66" s="10">
        <v>3.8298846976379863E-2</v>
      </c>
      <c r="K66" s="10">
        <v>4.2325290318336872E-3</v>
      </c>
      <c r="L66" s="10">
        <v>4.7797279996242281E-4</v>
      </c>
      <c r="M66" s="10">
        <v>-8.164915230259151E-2</v>
      </c>
      <c r="N66" s="10">
        <v>-0.16864301999745979</v>
      </c>
      <c r="O66" s="10">
        <v>-2.2966048630330138E-2</v>
      </c>
      <c r="P66" s="10">
        <v>9.6446629229227643E-3</v>
      </c>
      <c r="Q66" s="10">
        <v>1.3073723132442039E-2</v>
      </c>
      <c r="R66" s="10">
        <v>-0.11960305615612066</v>
      </c>
      <c r="S66" s="10">
        <v>-0.10427855479250137</v>
      </c>
      <c r="T66" s="10">
        <v>-3.410757206409698E-2</v>
      </c>
      <c r="U66" s="10">
        <v>5.3237715669983032E-2</v>
      </c>
      <c r="V66" s="10">
        <v>-2.0189460149949712E-2</v>
      </c>
      <c r="W66" s="10">
        <v>0.18916695818738027</v>
      </c>
      <c r="X66" s="10">
        <v>6.6111043351324117E-2</v>
      </c>
      <c r="Y66" s="10">
        <v>5.093817739580464E-2</v>
      </c>
      <c r="Z66" s="10">
        <v>5.2958111007342268E-2</v>
      </c>
      <c r="AA66" s="10">
        <v>4.3871089210882452E-2</v>
      </c>
      <c r="AB66" s="10">
        <v>0.12968297897764236</v>
      </c>
      <c r="AC66" s="2">
        <v>4.6938975215828904E-2</v>
      </c>
      <c r="AD66" s="2">
        <v>8.2567309561059288E-2</v>
      </c>
      <c r="AE66" s="2">
        <v>5.1407056116626659E-2</v>
      </c>
      <c r="AF66" s="2">
        <v>4.4221442623060048E-2</v>
      </c>
      <c r="AG66" s="2">
        <v>4.9994571275448596E-2</v>
      </c>
      <c r="AH66" s="2">
        <v>3.5227245535685014E-2</v>
      </c>
      <c r="AI66" s="2">
        <v>4.0512955755691582E-2</v>
      </c>
      <c r="AJ66" s="2">
        <v>8.404506686414237E-3</v>
      </c>
      <c r="AK66" s="2">
        <v>0.13342763083835729</v>
      </c>
      <c r="AL66" s="2">
        <v>3.8313657444955851E-2</v>
      </c>
      <c r="AM66" s="2">
        <v>1.1541632287260351E-2</v>
      </c>
      <c r="AN66" s="2">
        <v>5.1403119199318725E-2</v>
      </c>
    </row>
    <row r="67" spans="1:40" x14ac:dyDescent="0.25">
      <c r="A67" s="1">
        <f t="shared" si="0"/>
        <v>42614</v>
      </c>
      <c r="B67" s="10">
        <v>8.8168931629726943E-2</v>
      </c>
      <c r="C67" s="10">
        <v>9.0479140125327984E-2</v>
      </c>
      <c r="D67" s="10">
        <v>-0.10997145686956833</v>
      </c>
      <c r="E67" s="10">
        <v>-0.11227378024807733</v>
      </c>
      <c r="F67" s="10">
        <v>0.13955421543672331</v>
      </c>
      <c r="G67" s="10">
        <v>1.5584814128921654E-2</v>
      </c>
      <c r="H67" s="10">
        <v>1.2004929378433449E-2</v>
      </c>
      <c r="I67" s="10">
        <v>2.2497418601747921E-3</v>
      </c>
      <c r="J67" s="10">
        <v>2.7078291484946559E-2</v>
      </c>
      <c r="K67" s="10">
        <v>2.134845284868736E-2</v>
      </c>
      <c r="L67" s="10">
        <v>2.2846087726442033E-2</v>
      </c>
      <c r="M67" s="10">
        <v>-8.3737237033430612E-2</v>
      </c>
      <c r="N67" s="10">
        <v>1.2450543864954033E-2</v>
      </c>
      <c r="O67" s="10">
        <v>-1.7630987147108312E-2</v>
      </c>
      <c r="P67" s="10">
        <v>5.0619121496224828E-2</v>
      </c>
      <c r="Q67" s="10">
        <v>4.7552951655557729E-2</v>
      </c>
      <c r="R67" s="10">
        <v>-6.3148877630143874E-2</v>
      </c>
      <c r="S67" s="10">
        <v>0.2184912928006526</v>
      </c>
      <c r="T67" s="10">
        <v>-4.4079944460958087E-2</v>
      </c>
      <c r="U67" s="10">
        <v>5.2953133471248526E-2</v>
      </c>
      <c r="V67" s="10">
        <v>3.8244503502239846E-2</v>
      </c>
      <c r="W67" s="10">
        <v>0.20263192146110121</v>
      </c>
      <c r="X67" s="10">
        <v>1.7468809245480665E-2</v>
      </c>
      <c r="Y67" s="10">
        <v>9.9675431645078749E-3</v>
      </c>
      <c r="Z67" s="10">
        <v>4.3397518181304218E-2</v>
      </c>
      <c r="AA67" s="10">
        <v>6.1429226949007987E-3</v>
      </c>
      <c r="AB67" s="10">
        <v>0.17190894752242469</v>
      </c>
      <c r="AC67" s="2">
        <v>4.5651691929158078E-2</v>
      </c>
      <c r="AD67" s="2">
        <v>9.7718918704124968E-2</v>
      </c>
      <c r="AE67" s="2">
        <v>6.3060814302005053E-2</v>
      </c>
      <c r="AF67" s="2">
        <v>-5.5461848479677278E-2</v>
      </c>
      <c r="AG67" s="2">
        <v>-6.4299075103999903E-2</v>
      </c>
      <c r="AH67" s="2">
        <v>-4.7225863643352906E-2</v>
      </c>
      <c r="AI67" s="2">
        <v>3.6613295003917745E-3</v>
      </c>
      <c r="AJ67" s="2">
        <v>3.5055751368642252E-3</v>
      </c>
      <c r="AK67" s="2">
        <v>0.10936889561061869</v>
      </c>
      <c r="AL67" s="2">
        <v>7.3932264067654518E-2</v>
      </c>
      <c r="AM67" s="2">
        <v>8.03804639921335E-3</v>
      </c>
      <c r="AN67" s="2">
        <v>2.508239041154936E-2</v>
      </c>
    </row>
    <row r="68" spans="1:40" x14ac:dyDescent="0.25">
      <c r="A68" s="1">
        <f t="shared" si="0"/>
        <v>42705</v>
      </c>
      <c r="B68" s="10">
        <v>0.15703727147068558</v>
      </c>
      <c r="C68" s="10">
        <v>8.7912219032167727E-2</v>
      </c>
      <c r="D68" s="10">
        <v>9.2024127028156322E-4</v>
      </c>
      <c r="E68" s="10">
        <v>1.5155191204452301E-3</v>
      </c>
      <c r="F68" s="10">
        <v>-2.9710962406433006E-2</v>
      </c>
      <c r="G68" s="10">
        <v>5.7848893779800958E-2</v>
      </c>
      <c r="H68" s="10">
        <v>9.4412753261012838E-3</v>
      </c>
      <c r="I68" s="10">
        <v>-3.7674594450529675E-3</v>
      </c>
      <c r="J68" s="10">
        <v>3.0043883157556017E-2</v>
      </c>
      <c r="K68" s="10">
        <v>1.725818708842386E-2</v>
      </c>
      <c r="L68" s="10">
        <v>3.1650884608883434E-2</v>
      </c>
      <c r="M68" s="10">
        <v>-8.7776686348863375E-2</v>
      </c>
      <c r="N68" s="10">
        <v>0.12636903671628641</v>
      </c>
      <c r="O68" s="10">
        <v>-3.4095581215001336E-2</v>
      </c>
      <c r="P68" s="10">
        <v>5.6636140032782611E-2</v>
      </c>
      <c r="Q68" s="10">
        <v>2.4930442456406965E-2</v>
      </c>
      <c r="R68" s="10">
        <v>-5.2379289716141808E-2</v>
      </c>
      <c r="S68" s="10">
        <v>0.21208764214876452</v>
      </c>
      <c r="T68" s="10">
        <v>-5.1220870213538827E-2</v>
      </c>
      <c r="U68" s="10">
        <v>3.2724428353868129E-2</v>
      </c>
      <c r="V68" s="10">
        <v>2.1103218768694143E-2</v>
      </c>
      <c r="W68" s="10">
        <v>0.16192862877907821</v>
      </c>
      <c r="X68" s="10">
        <v>1.0748354098818247E-2</v>
      </c>
      <c r="Y68" s="10">
        <v>2.2351767748629792E-2</v>
      </c>
      <c r="Z68" s="10">
        <v>3.5965634227475451E-2</v>
      </c>
      <c r="AA68" s="10">
        <v>-6.759113303190678E-3</v>
      </c>
      <c r="AB68" s="10">
        <v>0.15362448743239199</v>
      </c>
      <c r="AC68" s="2">
        <v>5.9111395650354615E-2</v>
      </c>
      <c r="AD68" s="2">
        <v>9.3734484443031896E-2</v>
      </c>
      <c r="AE68" s="2">
        <v>3.1204715857877874E-2</v>
      </c>
      <c r="AF68" s="2">
        <v>1.4264312894896047E-3</v>
      </c>
      <c r="AG68" s="2">
        <v>1.9612671713020724E-3</v>
      </c>
      <c r="AH68" s="2">
        <v>9.7806399965261193E-5</v>
      </c>
      <c r="AI68" s="2">
        <v>5.2672393036921061E-3</v>
      </c>
      <c r="AJ68" s="2">
        <v>3.0075942237731024E-2</v>
      </c>
      <c r="AK68" s="2">
        <v>0.14033047166014589</v>
      </c>
      <c r="AL68" s="2">
        <v>2.2379273357772789E-2</v>
      </c>
      <c r="AM68" s="2">
        <v>3.2096654718686057E-2</v>
      </c>
      <c r="AN68" s="2">
        <v>3.6855375249071676E-2</v>
      </c>
    </row>
    <row r="69" spans="1:40" x14ac:dyDescent="0.25">
      <c r="A69" s="1">
        <f t="shared" si="0"/>
        <v>42795</v>
      </c>
      <c r="B69" s="10">
        <v>0.13521553519071761</v>
      </c>
      <c r="C69" s="10">
        <v>5.72783706200235E-2</v>
      </c>
      <c r="D69" s="10">
        <v>0.27049920049415199</v>
      </c>
      <c r="E69" s="10">
        <v>0.27434396693277452</v>
      </c>
      <c r="F69" s="10">
        <v>3.8692151411048314E-2</v>
      </c>
      <c r="G69" s="10">
        <v>0.2037112958535916</v>
      </c>
      <c r="H69" s="10">
        <v>-1.0269390268629053E-3</v>
      </c>
      <c r="I69" s="10">
        <v>-1.0150412848418555E-2</v>
      </c>
      <c r="J69" s="10">
        <v>1.296651869196852E-2</v>
      </c>
      <c r="K69" s="10">
        <v>1.0174202305367031E-2</v>
      </c>
      <c r="L69" s="10">
        <v>8.9278381961308551E-3</v>
      </c>
      <c r="M69" s="10">
        <v>-4.8424633058100408E-2</v>
      </c>
      <c r="N69" s="10">
        <v>0.93481550342402042</v>
      </c>
      <c r="O69" s="10">
        <v>-6.9322646065576587E-2</v>
      </c>
      <c r="P69" s="10">
        <v>4.5931075883009376E-2</v>
      </c>
      <c r="Q69" s="10">
        <v>-1.4714983438968154E-4</v>
      </c>
      <c r="R69" s="10">
        <v>-2.4135668586661496E-2</v>
      </c>
      <c r="S69" s="10">
        <v>0.11421450226271967</v>
      </c>
      <c r="T69" s="10">
        <v>-5.5018963290618395E-3</v>
      </c>
      <c r="U69" s="10">
        <v>-7.6223180826301418E-3</v>
      </c>
      <c r="V69" s="10">
        <v>-3.4598926099393967E-3</v>
      </c>
      <c r="W69" s="10">
        <v>9.9622979900366282E-2</v>
      </c>
      <c r="X69" s="10">
        <v>-4.2743327418740984E-2</v>
      </c>
      <c r="Y69" s="10">
        <v>3.3908401893663065E-2</v>
      </c>
      <c r="Z69" s="10">
        <v>4.3952852262232334E-2</v>
      </c>
      <c r="AA69" s="10">
        <v>3.0476819860625337E-3</v>
      </c>
      <c r="AB69" s="10">
        <v>0.17226105872680764</v>
      </c>
      <c r="AC69" s="2">
        <v>7.3416572960576909E-2</v>
      </c>
      <c r="AD69" s="2">
        <v>5.7916869268442861E-2</v>
      </c>
      <c r="AE69" s="2">
        <v>3.2283275926900945E-2</v>
      </c>
      <c r="AF69" s="2">
        <v>9.3388159720206865E-3</v>
      </c>
      <c r="AG69" s="2">
        <v>1.2385995086802382E-2</v>
      </c>
      <c r="AH69" s="2">
        <v>4.1805769245799596E-3</v>
      </c>
      <c r="AI69" s="2">
        <v>8.7484965135216086E-3</v>
      </c>
      <c r="AJ69" s="2">
        <v>6.841598115358094E-2</v>
      </c>
      <c r="AK69" s="2">
        <v>0.13784749489798132</v>
      </c>
      <c r="AL69" s="2">
        <v>6.0992825908723347E-4</v>
      </c>
      <c r="AM69" s="2">
        <v>6.583418124547169E-2</v>
      </c>
      <c r="AN69" s="2">
        <v>4.3303166148079164E-2</v>
      </c>
    </row>
    <row r="70" spans="1:40" x14ac:dyDescent="0.25">
      <c r="A70" s="1">
        <f t="shared" si="0"/>
        <v>42887</v>
      </c>
      <c r="B70" s="10">
        <v>9.7556689427098942E-2</v>
      </c>
      <c r="C70" s="10">
        <v>3.1685059553638872E-3</v>
      </c>
      <c r="D70" s="10">
        <v>0.19124797549974693</v>
      </c>
      <c r="E70" s="10">
        <v>0.19303029071965416</v>
      </c>
      <c r="F70" s="10">
        <v>9.9710285037932334E-2</v>
      </c>
      <c r="G70" s="10">
        <v>-6.4854794563456331E-2</v>
      </c>
      <c r="H70" s="10">
        <v>-1.860063830006331E-2</v>
      </c>
      <c r="I70" s="10">
        <v>-2.3092760588256045E-2</v>
      </c>
      <c r="J70" s="10">
        <v>-1.2030349632195181E-2</v>
      </c>
      <c r="K70" s="10">
        <v>1.1678640281410413E-2</v>
      </c>
      <c r="L70" s="10">
        <v>1.4806823371137812E-2</v>
      </c>
      <c r="M70" s="10">
        <v>-3.3651038877231643E-2</v>
      </c>
      <c r="N70" s="10">
        <v>-0.14101653724262742</v>
      </c>
      <c r="O70" s="10">
        <v>-8.0239368605255934E-2</v>
      </c>
      <c r="P70" s="10">
        <v>3.645492154909169E-3</v>
      </c>
      <c r="Q70" s="10">
        <v>-2.9425898491563518E-2</v>
      </c>
      <c r="R70" s="10">
        <v>-2.4425377486274713E-2</v>
      </c>
      <c r="S70" s="10">
        <v>1.4135327448371093E-2</v>
      </c>
      <c r="T70" s="10">
        <v>-2.8253521877431464E-2</v>
      </c>
      <c r="U70" s="10">
        <v>-1.7957761030583774E-2</v>
      </c>
      <c r="V70" s="10">
        <v>-3.0826831028044288E-2</v>
      </c>
      <c r="W70" s="10">
        <v>3.2918492404695021E-2</v>
      </c>
      <c r="X70" s="10">
        <v>-2.793786803221987E-2</v>
      </c>
      <c r="Y70" s="10">
        <v>2.0847471414851881E-2</v>
      </c>
      <c r="Z70" s="10">
        <v>2.6463615027504162E-2</v>
      </c>
      <c r="AA70" s="10">
        <v>-8.7214330203727597E-3</v>
      </c>
      <c r="AB70" s="10">
        <v>0.14783300274333433</v>
      </c>
      <c r="AC70" s="2">
        <v>5.3207401436232926E-2</v>
      </c>
      <c r="AD70" s="2">
        <v>5.3833651054870924E-3</v>
      </c>
      <c r="AE70" s="2">
        <v>2.9446495063706779E-2</v>
      </c>
      <c r="AF70" s="2">
        <v>3.7312127834971953E-3</v>
      </c>
      <c r="AG70" s="2">
        <v>1.0168182263614156E-2</v>
      </c>
      <c r="AH70" s="2">
        <v>-6.2253228128053006E-3</v>
      </c>
      <c r="AI70" s="2">
        <v>-1.3528535232059102E-3</v>
      </c>
      <c r="AJ70" s="2">
        <v>3.5649332830346658E-2</v>
      </c>
      <c r="AK70" s="2">
        <v>9.8376731189607769E-2</v>
      </c>
      <c r="AL70" s="2">
        <v>0.12227920018016669</v>
      </c>
      <c r="AM70" s="2">
        <v>4.0571300736375493E-2</v>
      </c>
      <c r="AN70" s="2">
        <v>2.3458163627546158E-2</v>
      </c>
    </row>
    <row r="71" spans="1:40" x14ac:dyDescent="0.25">
      <c r="A71" s="1">
        <f t="shared" ref="A71:A90" si="1">EDATE(A70,3)</f>
        <v>42979</v>
      </c>
      <c r="B71" s="10">
        <v>8.8065108557500826E-2</v>
      </c>
      <c r="C71" s="10">
        <v>1.2878543568477285E-2</v>
      </c>
      <c r="D71" s="10">
        <v>0.22334611883028233</v>
      </c>
      <c r="E71" s="10">
        <v>0.22687798468039744</v>
      </c>
      <c r="F71" s="10">
        <v>-8.7657178743138053E-2</v>
      </c>
      <c r="G71" s="10">
        <v>-3.7675973261679041E-2</v>
      </c>
      <c r="H71" s="10">
        <v>5.0871518452701991E-3</v>
      </c>
      <c r="I71" s="10">
        <v>-7.5933327440945719E-3</v>
      </c>
      <c r="J71" s="10">
        <v>2.3805429190195015E-2</v>
      </c>
      <c r="K71" s="10">
        <v>9.6713303998083866E-3</v>
      </c>
      <c r="L71" s="10">
        <v>-1.3235804770580506E-2</v>
      </c>
      <c r="M71" s="10">
        <v>6.3189551759657014E-4</v>
      </c>
      <c r="N71" s="10">
        <v>-0.10984063804604738</v>
      </c>
      <c r="O71" s="10">
        <v>-6.7420109528656957E-2</v>
      </c>
      <c r="P71" s="10">
        <v>-1.57121166441343E-3</v>
      </c>
      <c r="Q71" s="10">
        <v>-1.7093784492077102E-3</v>
      </c>
      <c r="R71" s="10">
        <v>3.6116432635072915E-2</v>
      </c>
      <c r="S71" s="10">
        <v>-3.8839847494621327E-2</v>
      </c>
      <c r="T71" s="10">
        <v>-4.7422032451817975E-2</v>
      </c>
      <c r="U71" s="10">
        <v>-4.2638044913567708E-4</v>
      </c>
      <c r="V71" s="10">
        <v>1.7313925934391072E-2</v>
      </c>
      <c r="W71" s="10">
        <v>8.6566205319900114E-3</v>
      </c>
      <c r="X71" s="10">
        <v>-2.8447247929735742E-2</v>
      </c>
      <c r="Y71" s="10">
        <v>2.7478260776142571E-2</v>
      </c>
      <c r="Z71" s="10">
        <v>4.392538612980057E-2</v>
      </c>
      <c r="AA71" s="10">
        <v>3.9424177849221032E-2</v>
      </c>
      <c r="AB71" s="10">
        <v>0.243489701312817</v>
      </c>
      <c r="AC71" s="2">
        <v>4.6261339535342172E-2</v>
      </c>
      <c r="AD71" s="2">
        <v>1.2410795267972619E-2</v>
      </c>
      <c r="AE71" s="2">
        <v>3.0372613588217856E-2</v>
      </c>
      <c r="AF71" s="2">
        <v>-1.0367389943677918E-2</v>
      </c>
      <c r="AG71" s="2">
        <v>-6.6119495365282166E-3</v>
      </c>
      <c r="AH71" s="2">
        <v>-1.9452575463251076E-2</v>
      </c>
      <c r="AI71" s="2">
        <v>8.6276808144463146E-3</v>
      </c>
      <c r="AJ71" s="2">
        <v>4.0330133341686336E-2</v>
      </c>
      <c r="AK71" s="2">
        <v>9.1859222716246247E-3</v>
      </c>
      <c r="AL71" s="2">
        <v>0.12633897431011754</v>
      </c>
      <c r="AM71" s="2">
        <v>4.4038472958003672E-2</v>
      </c>
      <c r="AN71" s="2">
        <v>2.5034561401550137E-2</v>
      </c>
    </row>
    <row r="72" spans="1:40" x14ac:dyDescent="0.25">
      <c r="A72" s="1">
        <f t="shared" si="1"/>
        <v>43070</v>
      </c>
      <c r="B72" s="10">
        <v>0.10063108580394808</v>
      </c>
      <c r="C72" s="10">
        <v>4.5749450091530086E-2</v>
      </c>
      <c r="D72" s="10">
        <v>0.23969768036526973</v>
      </c>
      <c r="E72" s="10">
        <v>0.24277829101490345</v>
      </c>
      <c r="F72" s="10">
        <v>1.1225437806045013E-2</v>
      </c>
      <c r="G72" s="10">
        <v>4.9974871397308718E-2</v>
      </c>
      <c r="H72" s="10">
        <v>1.9103401865177672E-2</v>
      </c>
      <c r="I72" s="10">
        <v>1.684266367875864E-2</v>
      </c>
      <c r="J72" s="10">
        <v>2.24201831502433E-2</v>
      </c>
      <c r="K72" s="10">
        <v>2.9002620348447694E-2</v>
      </c>
      <c r="L72" s="10">
        <v>6.4026076074619187E-3</v>
      </c>
      <c r="M72" s="10">
        <v>3.4463980833000507E-2</v>
      </c>
      <c r="N72" s="10">
        <v>8.0290473738751977E-2</v>
      </c>
      <c r="O72" s="10">
        <v>-2.9520512262055543E-2</v>
      </c>
      <c r="P72" s="10">
        <v>-1.017350787150062E-2</v>
      </c>
      <c r="Q72" s="10">
        <v>4.0753682495146437E-2</v>
      </c>
      <c r="R72" s="10">
        <v>6.7221678913085059E-2</v>
      </c>
      <c r="S72" s="10">
        <v>5.1403987972107323E-3</v>
      </c>
      <c r="T72" s="10">
        <v>-3.4403471419153564E-2</v>
      </c>
      <c r="U72" s="10">
        <v>3.4013738674778082E-2</v>
      </c>
      <c r="V72" s="10">
        <v>5.6628959276018076E-2</v>
      </c>
      <c r="W72" s="10">
        <v>-7.7181804873104332E-3</v>
      </c>
      <c r="X72" s="10">
        <v>3.034686851011914E-2</v>
      </c>
      <c r="Y72" s="10">
        <v>-2.6138070421191095E-3</v>
      </c>
      <c r="Z72" s="10">
        <v>3.0218309657911391E-2</v>
      </c>
      <c r="AA72" s="10">
        <v>3.6150239402657824E-2</v>
      </c>
      <c r="AB72" s="10">
        <v>0.15988213046576183</v>
      </c>
      <c r="AC72" s="2">
        <v>3.7683289618342108E-3</v>
      </c>
      <c r="AD72" s="2">
        <v>3.9410335102858296E-2</v>
      </c>
      <c r="AE72" s="2">
        <v>3.5205089471029849E-2</v>
      </c>
      <c r="AF72" s="2">
        <v>-5.6646149965346226E-2</v>
      </c>
      <c r="AG72" s="2">
        <v>-5.5861694175061039E-2</v>
      </c>
      <c r="AH72" s="2">
        <v>-6.512729742795742E-2</v>
      </c>
      <c r="AI72" s="2">
        <v>1.2195154723453561E-2</v>
      </c>
      <c r="AJ72" s="2">
        <v>4.3350920799000825E-2</v>
      </c>
      <c r="AK72" s="2">
        <v>3.6010521547243934E-2</v>
      </c>
      <c r="AL72" s="2">
        <v>9.8703351624760627E-2</v>
      </c>
      <c r="AM72" s="2">
        <v>4.5923795152821745E-2</v>
      </c>
      <c r="AN72" s="2">
        <v>2.2347675118844723E-2</v>
      </c>
    </row>
    <row r="73" spans="1:40" x14ac:dyDescent="0.25">
      <c r="A73" s="1">
        <f t="shared" si="1"/>
        <v>43160</v>
      </c>
      <c r="B73" s="10">
        <v>6.3810586342350817E-2</v>
      </c>
      <c r="C73" s="10">
        <v>3.2714264721049879E-2</v>
      </c>
      <c r="D73" s="10">
        <v>0.29307409768619919</v>
      </c>
      <c r="E73" s="10">
        <v>0.29698760450585993</v>
      </c>
      <c r="F73" s="10">
        <v>-3.909188263763419E-2</v>
      </c>
      <c r="G73" s="10">
        <v>-5.5333424268332765E-2</v>
      </c>
      <c r="H73" s="10">
        <v>4.841779550356895E-2</v>
      </c>
      <c r="I73" s="10">
        <v>3.7081029650919417E-2</v>
      </c>
      <c r="J73" s="10">
        <v>6.501249384672847E-2</v>
      </c>
      <c r="K73" s="10">
        <v>2.422427774985958E-2</v>
      </c>
      <c r="L73" s="10">
        <v>3.8032945736434121E-2</v>
      </c>
      <c r="M73" s="10">
        <v>6.4778770191481483E-2</v>
      </c>
      <c r="N73" s="10">
        <v>-0.22296359875477834</v>
      </c>
      <c r="O73" s="10">
        <v>3.9009170251768976E-2</v>
      </c>
      <c r="P73" s="10">
        <v>3.4260671218107053E-3</v>
      </c>
      <c r="Q73" s="10">
        <v>-1.8613074258313489E-3</v>
      </c>
      <c r="R73" s="10">
        <v>5.3020370147008E-2</v>
      </c>
      <c r="S73" s="10">
        <v>0.22173291302024922</v>
      </c>
      <c r="T73" s="10">
        <v>3.6399546306551622E-2</v>
      </c>
      <c r="U73" s="10">
        <v>9.9013071705144284E-2</v>
      </c>
      <c r="V73" s="10">
        <v>7.4153534133009513E-2</v>
      </c>
      <c r="W73" s="10">
        <v>-8.7301528981187371E-4</v>
      </c>
      <c r="X73" s="10">
        <v>2.7321600682550073E-2</v>
      </c>
      <c r="Y73" s="10">
        <v>1.0887275892866866E-2</v>
      </c>
      <c r="Z73" s="10">
        <v>3.5760440391518378E-2</v>
      </c>
      <c r="AA73" s="10">
        <v>2.9021684897098776E-2</v>
      </c>
      <c r="AB73" s="10">
        <v>5.6893621232171787E-2</v>
      </c>
      <c r="AC73" s="2">
        <v>4.3799720360461425E-2</v>
      </c>
      <c r="AD73" s="2">
        <v>2.8508595216824029E-2</v>
      </c>
      <c r="AE73" s="2">
        <v>2.9472381158643923E-2</v>
      </c>
      <c r="AF73" s="2">
        <v>-5.0418441394270763E-2</v>
      </c>
      <c r="AG73" s="2">
        <v>-5.3983726270209531E-2</v>
      </c>
      <c r="AH73" s="2">
        <v>-5.4426530753213354E-2</v>
      </c>
      <c r="AI73" s="2">
        <v>2.1043862972864424E-2</v>
      </c>
      <c r="AJ73" s="2">
        <v>4.4603964289049447E-2</v>
      </c>
      <c r="AK73" s="2">
        <v>4.3096532898227569E-2</v>
      </c>
      <c r="AL73" s="2">
        <v>8.7055439685617353E-2</v>
      </c>
      <c r="AM73" s="2">
        <v>4.6627120835434299E-2</v>
      </c>
      <c r="AN73" s="2">
        <v>1.7459292968173834E-2</v>
      </c>
    </row>
    <row r="74" spans="1:40" x14ac:dyDescent="0.25">
      <c r="A74" s="1">
        <f t="shared" si="1"/>
        <v>43252</v>
      </c>
      <c r="B74" s="10">
        <v>8.0117285204145183E-2</v>
      </c>
      <c r="C74" s="10">
        <v>6.6087784942680861E-2</v>
      </c>
      <c r="D74" s="10">
        <v>0.57190832859824359</v>
      </c>
      <c r="E74" s="10">
        <v>0.58039306897489285</v>
      </c>
      <c r="F74" s="10">
        <v>4.2102444460080379E-2</v>
      </c>
      <c r="G74" s="10">
        <v>0.10126356378514845</v>
      </c>
      <c r="H74" s="10">
        <v>7.1346322343944113E-2</v>
      </c>
      <c r="I74" s="10">
        <v>6.9339623725322541E-2</v>
      </c>
      <c r="J74" s="10">
        <v>7.4193556524747128E-2</v>
      </c>
      <c r="K74" s="10">
        <v>2.0222894783650025E-2</v>
      </c>
      <c r="L74" s="10">
        <v>3.32293906773522E-2</v>
      </c>
      <c r="M74" s="10">
        <v>7.7292951254189113E-2</v>
      </c>
      <c r="N74" s="10">
        <v>0.15633430125910786</v>
      </c>
      <c r="O74" s="10">
        <v>7.6662370881129815E-2</v>
      </c>
      <c r="P74" s="10">
        <v>3.4402604354445421E-2</v>
      </c>
      <c r="Q74" s="10">
        <v>7.5835840425412471E-2</v>
      </c>
      <c r="R74" s="10">
        <v>0.12902378251978219</v>
      </c>
      <c r="S74" s="10">
        <v>0.16386729182740822</v>
      </c>
      <c r="T74" s="10">
        <v>3.5221317114252138E-2</v>
      </c>
      <c r="U74" s="10">
        <v>0.11604776150349938</v>
      </c>
      <c r="V74" s="10">
        <v>0.16034404002361202</v>
      </c>
      <c r="W74" s="10">
        <v>1.24042435793561E-2</v>
      </c>
      <c r="X74" s="10">
        <v>1.5022495090741828E-3</v>
      </c>
      <c r="Y74" s="10">
        <v>9.7763603256262321E-3</v>
      </c>
      <c r="Z74" s="10">
        <v>2.9219319087998574E-2</v>
      </c>
      <c r="AA74" s="10">
        <v>2.435382401368047E-2</v>
      </c>
      <c r="AB74" s="10">
        <v>5.6896632072481301E-2</v>
      </c>
      <c r="AC74" s="2">
        <v>1.9454590099110547E-2</v>
      </c>
      <c r="AD74" s="2">
        <v>5.9669274905157499E-2</v>
      </c>
      <c r="AE74" s="2">
        <v>4.0427530904103781E-2</v>
      </c>
      <c r="AF74" s="2">
        <v>-4.6451854824244632E-2</v>
      </c>
      <c r="AG74" s="2">
        <v>-5.171118999150337E-2</v>
      </c>
      <c r="AH74" s="2">
        <v>-5.0317955461898434E-2</v>
      </c>
      <c r="AI74" s="2">
        <v>3.0518678270788913E-2</v>
      </c>
      <c r="AJ74" s="2">
        <v>8.1819826786447614E-2</v>
      </c>
      <c r="AK74" s="2">
        <v>8.615770527424349E-3</v>
      </c>
      <c r="AL74" s="2">
        <v>8.978854068101394E-2</v>
      </c>
      <c r="AM74" s="2">
        <v>8.0364587290923994E-2</v>
      </c>
      <c r="AN74" s="2">
        <v>2.8481146137699698E-2</v>
      </c>
    </row>
    <row r="75" spans="1:40" x14ac:dyDescent="0.25">
      <c r="A75" s="1">
        <f t="shared" si="1"/>
        <v>43344</v>
      </c>
      <c r="B75" s="10">
        <v>7.2805586468383199E-2</v>
      </c>
      <c r="C75" s="10">
        <v>6.3293280014574016E-2</v>
      </c>
      <c r="D75" s="10">
        <v>0.57589723254520675</v>
      </c>
      <c r="E75" s="10">
        <v>0.58144747374509409</v>
      </c>
      <c r="F75" s="10">
        <v>0.27501605969264209</v>
      </c>
      <c r="G75" s="10">
        <v>0.15535701409892066</v>
      </c>
      <c r="H75" s="10">
        <v>4.6280208529613898E-2</v>
      </c>
      <c r="I75" s="10">
        <v>4.654728749014625E-2</v>
      </c>
      <c r="J75" s="10">
        <v>4.5910899012966189E-2</v>
      </c>
      <c r="K75" s="10">
        <v>3.3877587901387507E-4</v>
      </c>
      <c r="L75" s="10">
        <v>6.3925838595809026E-2</v>
      </c>
      <c r="M75" s="10">
        <v>7.9041889248493424E-2</v>
      </c>
      <c r="N75" s="10">
        <v>0.35611947780346176</v>
      </c>
      <c r="O75" s="10">
        <v>8.422722939488958E-2</v>
      </c>
      <c r="P75" s="10">
        <v>9.8996072300834292E-3</v>
      </c>
      <c r="Q75" s="10">
        <v>4.6887739196499911E-2</v>
      </c>
      <c r="R75" s="10">
        <v>3.9787911410313459E-2</v>
      </c>
      <c r="S75" s="10">
        <v>0.11019499935430677</v>
      </c>
      <c r="T75" s="10">
        <v>1.686186422631053E-2</v>
      </c>
      <c r="U75" s="10">
        <v>0.11264217334904125</v>
      </c>
      <c r="V75" s="10">
        <v>9.7563142755925147E-2</v>
      </c>
      <c r="W75" s="10">
        <v>2.4757583581670239E-2</v>
      </c>
      <c r="X75" s="10">
        <v>6.5157556613804068E-4</v>
      </c>
      <c r="Y75" s="10">
        <v>1.0476573767103092E-2</v>
      </c>
      <c r="Z75" s="10">
        <v>3.1195211880381324E-2</v>
      </c>
      <c r="AA75" s="10">
        <v>1.0510664338779341E-2</v>
      </c>
      <c r="AB75" s="10">
        <v>3.4081656306257813E-2</v>
      </c>
      <c r="AC75" s="2">
        <v>2.8371750983940958E-2</v>
      </c>
      <c r="AD75" s="2">
        <v>5.9564168843710519E-2</v>
      </c>
      <c r="AE75" s="2">
        <v>5.7762271847664692E-2</v>
      </c>
      <c r="AF75" s="2">
        <v>-3.8173098283786011E-2</v>
      </c>
      <c r="AG75" s="2">
        <v>-4.416557262134535E-2</v>
      </c>
      <c r="AH75" s="2">
        <v>-4.0174585520054928E-2</v>
      </c>
      <c r="AI75" s="2">
        <v>4.9349951059721953E-2</v>
      </c>
      <c r="AJ75" s="2">
        <v>8.6006615222332661E-2</v>
      </c>
      <c r="AK75" s="2">
        <v>6.0947242340696484E-3</v>
      </c>
      <c r="AL75" s="2">
        <v>0.10334714027631131</v>
      </c>
      <c r="AM75" s="2">
        <v>8.6582202746353643E-2</v>
      </c>
      <c r="AN75" s="2">
        <v>3.3034174794493998E-2</v>
      </c>
    </row>
    <row r="76" spans="1:40" x14ac:dyDescent="0.25">
      <c r="A76" s="1">
        <f t="shared" si="1"/>
        <v>43435</v>
      </c>
      <c r="B76" s="10">
        <v>3.2918706167787359E-2</v>
      </c>
      <c r="C76" s="10">
        <v>-2.413752509658218E-2</v>
      </c>
      <c r="D76" s="10">
        <v>0.31933871365143762</v>
      </c>
      <c r="E76" s="10">
        <v>0.32187885359988355</v>
      </c>
      <c r="F76" s="10">
        <v>0.14099677911607023</v>
      </c>
      <c r="G76" s="10">
        <v>-0.11942947002326787</v>
      </c>
      <c r="H76" s="10">
        <v>4.0903489194868303E-2</v>
      </c>
      <c r="I76" s="10">
        <v>4.3492627313241883E-2</v>
      </c>
      <c r="J76" s="10">
        <v>3.7152635268791423E-2</v>
      </c>
      <c r="K76" s="10">
        <v>8.1382230737989669E-3</v>
      </c>
      <c r="L76" s="10">
        <v>4.512058687488274E-2</v>
      </c>
      <c r="M76" s="10">
        <v>7.0191420524656767E-2</v>
      </c>
      <c r="N76" s="10">
        <v>-0.32902744294519215</v>
      </c>
      <c r="O76" s="10">
        <v>6.1293902320976423E-2</v>
      </c>
      <c r="P76" s="10">
        <v>2.4182403134415775E-2</v>
      </c>
      <c r="Q76" s="10">
        <v>5.5843654091740191E-2</v>
      </c>
      <c r="R76" s="10">
        <v>1.739668461333399E-2</v>
      </c>
      <c r="S76" s="10">
        <v>7.6923299382629651E-3</v>
      </c>
      <c r="T76" s="10">
        <v>9.2085979205678958E-2</v>
      </c>
      <c r="U76" s="10">
        <v>7.5637175264968493E-2</v>
      </c>
      <c r="V76" s="10">
        <v>7.1823701560458142E-2</v>
      </c>
      <c r="W76" s="10">
        <v>4.7580493247596056E-2</v>
      </c>
      <c r="X76" s="10">
        <v>1.8844208547701635E-2</v>
      </c>
      <c r="Y76" s="10">
        <v>-5.6088347002560823E-3</v>
      </c>
      <c r="Z76" s="10">
        <v>2.9668318569024521E-2</v>
      </c>
      <c r="AA76" s="10">
        <v>-9.1275701247841567E-3</v>
      </c>
      <c r="AB76" s="10">
        <v>-3.3698376288920362E-2</v>
      </c>
      <c r="AC76" s="2">
        <v>5.7792124615861251E-2</v>
      </c>
      <c r="AD76" s="2">
        <v>-1.5666230856726915E-2</v>
      </c>
      <c r="AE76" s="2">
        <v>8.6331456431724796E-2</v>
      </c>
      <c r="AF76" s="2">
        <v>-6.7271845005716591E-2</v>
      </c>
      <c r="AG76" s="2">
        <v>-7.53471380152968E-2</v>
      </c>
      <c r="AH76" s="2">
        <v>-6.9110291302530769E-2</v>
      </c>
      <c r="AI76" s="2">
        <v>7.6984719415280622E-2</v>
      </c>
      <c r="AJ76" s="2">
        <v>3.0841040759466365E-2</v>
      </c>
      <c r="AK76" s="2">
        <v>-2.5853728010758803E-2</v>
      </c>
      <c r="AL76" s="2">
        <v>0.10353443083591318</v>
      </c>
      <c r="AM76" s="2">
        <v>3.3799859664183529E-2</v>
      </c>
      <c r="AN76" s="2">
        <v>-2.0675733326299683E-3</v>
      </c>
    </row>
    <row r="77" spans="1:40" x14ac:dyDescent="0.25">
      <c r="A77" s="1">
        <f t="shared" si="1"/>
        <v>43525</v>
      </c>
      <c r="B77" s="10">
        <v>3.3951801213120358E-2</v>
      </c>
      <c r="C77" s="10">
        <v>-8.9813890936906948E-2</v>
      </c>
      <c r="D77" s="10">
        <v>0.14251046146059299</v>
      </c>
      <c r="E77" s="10">
        <v>0.14282525588114625</v>
      </c>
      <c r="F77" s="10">
        <v>8.4520340010326933E-2</v>
      </c>
      <c r="G77" s="10">
        <v>-0.15424427675560959</v>
      </c>
      <c r="H77" s="10">
        <v>-9.75672884501666E-3</v>
      </c>
      <c r="I77" s="10">
        <v>-2.0956166638471663E-3</v>
      </c>
      <c r="J77" s="10">
        <v>-2.0983036747519113E-2</v>
      </c>
      <c r="K77" s="10">
        <v>1.520600167172903E-2</v>
      </c>
      <c r="L77" s="10">
        <v>3.439909205812608E-3</v>
      </c>
      <c r="M77" s="10">
        <v>3.8987408903280008E-2</v>
      </c>
      <c r="N77" s="10">
        <v>-0.49033009058008881</v>
      </c>
      <c r="O77" s="10">
        <v>-1.1141841830948906E-2</v>
      </c>
      <c r="P77" s="10">
        <v>-1.3304770915358866E-3</v>
      </c>
      <c r="Q77" s="10">
        <v>3.5176408877656717E-2</v>
      </c>
      <c r="R77" s="10">
        <v>-8.7839549469417855E-2</v>
      </c>
      <c r="S77" s="10">
        <v>-2.3543762993167738E-2</v>
      </c>
      <c r="T77" s="10">
        <v>1.9342993525572894E-5</v>
      </c>
      <c r="U77" s="10">
        <v>1.913318569957223E-2</v>
      </c>
      <c r="V77" s="10">
        <v>-2.3980062785283529E-2</v>
      </c>
      <c r="W77" s="10">
        <v>4.3706645126616372E-2</v>
      </c>
      <c r="X77" s="10">
        <v>1.3518958700057482E-2</v>
      </c>
      <c r="Y77" s="10">
        <v>0.28283601864476271</v>
      </c>
      <c r="Z77" s="10">
        <v>1.2247677762911247E-2</v>
      </c>
      <c r="AA77" s="10">
        <v>-1.1118479241495338E-3</v>
      </c>
      <c r="AB77" s="10">
        <v>3.2517257707882496E-3</v>
      </c>
      <c r="AC77" s="2">
        <v>3.7430119239223458E-3</v>
      </c>
      <c r="AD77" s="2">
        <v>-7.0723957091161194E-2</v>
      </c>
      <c r="AE77" s="2">
        <v>9.9061033705109214E-2</v>
      </c>
      <c r="AF77" s="2">
        <v>1.0163509397979009</v>
      </c>
      <c r="AG77" s="2">
        <v>1.120803089188354</v>
      </c>
      <c r="AH77" s="2">
        <v>0.98075295632672543</v>
      </c>
      <c r="AI77" s="2">
        <v>9.444783279251534E-2</v>
      </c>
      <c r="AJ77" s="2">
        <v>0.16771160452126632</v>
      </c>
      <c r="AK77" s="2">
        <v>-6.5843077456249177E-2</v>
      </c>
      <c r="AL77" s="2">
        <v>7.9912975895262361E-2</v>
      </c>
      <c r="AM77" s="2">
        <v>0.16000383188892608</v>
      </c>
      <c r="AN77" s="2">
        <v>0.16241928874390887</v>
      </c>
    </row>
    <row r="78" spans="1:40" x14ac:dyDescent="0.25">
      <c r="A78" s="1">
        <f t="shared" si="1"/>
        <v>43617</v>
      </c>
      <c r="B78" s="10">
        <v>9.9014498005323137E-3</v>
      </c>
      <c r="C78" s="10">
        <v>-0.10487311244476694</v>
      </c>
      <c r="D78" s="10">
        <v>-3.358587098868393E-2</v>
      </c>
      <c r="E78" s="10">
        <v>-3.277925094664691E-2</v>
      </c>
      <c r="F78" s="10">
        <v>-5.5311290093820076E-2</v>
      </c>
      <c r="G78" s="10">
        <v>-8.7749517800395527E-2</v>
      </c>
      <c r="H78" s="10">
        <v>-1.4608002616831373E-2</v>
      </c>
      <c r="I78" s="10">
        <v>-9.5643046105184926E-3</v>
      </c>
      <c r="J78" s="10">
        <v>-2.204082262785978E-2</v>
      </c>
      <c r="K78" s="10">
        <v>1.4279714899620988E-2</v>
      </c>
      <c r="L78" s="10">
        <v>7.670425872025266E-3</v>
      </c>
      <c r="M78" s="10">
        <v>1.9653022033517153E-2</v>
      </c>
      <c r="N78" s="10">
        <v>-0.20747152829540993</v>
      </c>
      <c r="O78" s="10">
        <v>-4.5692081350709901E-2</v>
      </c>
      <c r="P78" s="10">
        <v>-1.2903423461494756E-2</v>
      </c>
      <c r="Q78" s="10">
        <v>3.504146275503639E-2</v>
      </c>
      <c r="R78" s="10">
        <v>-7.4339980403674399E-2</v>
      </c>
      <c r="S78" s="10">
        <v>3.8109807921128835E-2</v>
      </c>
      <c r="T78" s="10">
        <v>1.7185272122370199E-2</v>
      </c>
      <c r="U78" s="10">
        <v>8.9262565280194828E-3</v>
      </c>
      <c r="V78" s="10">
        <v>-2.2074165841504456E-2</v>
      </c>
      <c r="W78" s="10">
        <v>5.0111214910841584E-2</v>
      </c>
      <c r="X78" s="10">
        <v>2.2355543092817731E-2</v>
      </c>
      <c r="Y78" s="10">
        <v>1.9375337785967339E-2</v>
      </c>
      <c r="Z78" s="10">
        <v>2.136232603810817E-2</v>
      </c>
      <c r="AA78" s="10">
        <v>-1.3810795288858202E-2</v>
      </c>
      <c r="AB78" s="10">
        <v>4.2295674307105902E-2</v>
      </c>
      <c r="AC78" s="2">
        <v>3.3102089440570248E-2</v>
      </c>
      <c r="AD78" s="2">
        <v>-8.4489673339199434E-2</v>
      </c>
      <c r="AE78" s="2">
        <v>0.1040216180381508</v>
      </c>
      <c r="AF78" s="2">
        <v>1.3093158113498093E-2</v>
      </c>
      <c r="AG78" s="2">
        <v>4.4243325135211453E-3</v>
      </c>
      <c r="AH78" s="2">
        <v>1.0005632654070507E-2</v>
      </c>
      <c r="AI78" s="2">
        <v>0.10994564356903447</v>
      </c>
      <c r="AJ78" s="2">
        <v>7.0866861218390476E-3</v>
      </c>
      <c r="AK78" s="2">
        <v>-4.7621668181314525E-2</v>
      </c>
      <c r="AL78" s="2">
        <v>-4.3929802695797937E-3</v>
      </c>
      <c r="AM78" s="2">
        <v>6.5336885968791947E-3</v>
      </c>
      <c r="AN78" s="2">
        <v>1.1839754030553706E-2</v>
      </c>
    </row>
    <row r="79" spans="1:40" x14ac:dyDescent="0.25">
      <c r="A79" s="1">
        <f t="shared" si="1"/>
        <v>43709</v>
      </c>
      <c r="B79" s="10">
        <v>-3.1122966732651802E-3</v>
      </c>
      <c r="C79" s="10">
        <v>-9.9099127284391741E-2</v>
      </c>
      <c r="D79" s="10">
        <v>-0.16035581936596022</v>
      </c>
      <c r="E79" s="10">
        <v>-0.16178379256142927</v>
      </c>
      <c r="F79" s="10">
        <v>-7.6513852213881184E-2</v>
      </c>
      <c r="G79" s="10">
        <v>-0.18380667156141706</v>
      </c>
      <c r="H79" s="10">
        <v>1.4458562480304193E-2</v>
      </c>
      <c r="I79" s="10">
        <v>-7.8540812802526672E-3</v>
      </c>
      <c r="J79" s="10">
        <v>4.697200540232882E-2</v>
      </c>
      <c r="K79" s="10">
        <v>2.5992135852784592E-2</v>
      </c>
      <c r="L79" s="10">
        <v>1.135863953241345E-2</v>
      </c>
      <c r="M79" s="10">
        <v>-3.9968065037279121E-3</v>
      </c>
      <c r="N79" s="10">
        <v>-0.4497027207726364</v>
      </c>
      <c r="O79" s="10">
        <v>-5.6177798870430173E-2</v>
      </c>
      <c r="P79" s="10">
        <v>-3.588249933920884E-2</v>
      </c>
      <c r="Q79" s="10">
        <v>2.176008860219647E-2</v>
      </c>
      <c r="R79" s="10">
        <v>-9.2016320177673583E-3</v>
      </c>
      <c r="S79" s="10">
        <v>0.1510335367816289</v>
      </c>
      <c r="T79" s="10">
        <v>-7.1884649595544969E-3</v>
      </c>
      <c r="U79" s="10">
        <v>1.0217305411020838E-2</v>
      </c>
      <c r="V79" s="10">
        <v>7.0882501322671043E-3</v>
      </c>
      <c r="W79" s="10">
        <v>2.8397722507436773E-2</v>
      </c>
      <c r="X79" s="10">
        <v>4.9299347491103429E-2</v>
      </c>
      <c r="Y79" s="10">
        <v>1.1265812224525051E-2</v>
      </c>
      <c r="Z79" s="10">
        <v>-9.1764939728611328E-4</v>
      </c>
      <c r="AA79" s="10">
        <v>-3.2208914969280911E-2</v>
      </c>
      <c r="AB79" s="10">
        <v>-9.4886488903220156E-2</v>
      </c>
      <c r="AC79" s="2">
        <v>8.9903642342468171E-3</v>
      </c>
      <c r="AD79" s="2">
        <v>-7.8659099615330463E-2</v>
      </c>
      <c r="AE79" s="2">
        <v>9.2938664238651603E-2</v>
      </c>
      <c r="AF79" s="2">
        <v>4.1589821503779323E-2</v>
      </c>
      <c r="AG79" s="2">
        <v>3.8517438580647712E-2</v>
      </c>
      <c r="AH79" s="2">
        <v>3.6226876501188165E-2</v>
      </c>
      <c r="AI79" s="2">
        <v>0.10867562925440799</v>
      </c>
      <c r="AJ79" s="2">
        <v>-2.1006015814286738E-2</v>
      </c>
      <c r="AK79" s="2">
        <v>5.4789149800995585E-2</v>
      </c>
      <c r="AL79" s="2">
        <v>3.6320428075446998E-2</v>
      </c>
      <c r="AM79" s="2">
        <v>-1.6794328070288356E-2</v>
      </c>
      <c r="AN79" s="2">
        <v>4.7856604946152626E-3</v>
      </c>
    </row>
    <row r="80" spans="1:40" x14ac:dyDescent="0.25">
      <c r="A80" s="1">
        <f t="shared" si="1"/>
        <v>43800</v>
      </c>
      <c r="B80" s="10">
        <v>7.2033670525990523E-3</v>
      </c>
      <c r="C80" s="10">
        <v>-0.10656602486691102</v>
      </c>
      <c r="D80" s="10">
        <v>-9.0146650698664343E-2</v>
      </c>
      <c r="E80" s="10">
        <v>-9.0518300265688967E-2</v>
      </c>
      <c r="F80" s="10">
        <v>-6.0445992789021186E-2</v>
      </c>
      <c r="G80" s="10">
        <v>3.3293846514496739E-2</v>
      </c>
      <c r="H80" s="10">
        <v>8.871999155696475E-3</v>
      </c>
      <c r="I80" s="10">
        <v>4.1011235724042194E-3</v>
      </c>
      <c r="J80" s="10">
        <v>1.5622097445222805E-2</v>
      </c>
      <c r="K80" s="10">
        <v>-9.5403288021028709E-3</v>
      </c>
      <c r="L80" s="10">
        <v>2.4235155843152834E-2</v>
      </c>
      <c r="M80" s="10">
        <v>-9.8797917866098039E-3</v>
      </c>
      <c r="N80" s="10">
        <v>8.275250989295091E-2</v>
      </c>
      <c r="O80" s="10">
        <v>-4.1774330683274075E-2</v>
      </c>
      <c r="P80" s="10">
        <v>-3.7558763207045542E-2</v>
      </c>
      <c r="Q80" s="10">
        <v>-1.0162776318384248E-3</v>
      </c>
      <c r="R80" s="10">
        <v>0.10512861807724705</v>
      </c>
      <c r="S80" s="10">
        <v>0.10659713800630621</v>
      </c>
      <c r="T80" s="10">
        <v>3.5082874724158497E-2</v>
      </c>
      <c r="U80" s="10">
        <v>-2.4135371160760588E-3</v>
      </c>
      <c r="V80" s="10">
        <v>6.4281322651366546E-2</v>
      </c>
      <c r="W80" s="10">
        <v>2.1066050993182595E-2</v>
      </c>
      <c r="X80" s="10">
        <v>2.1868779670141114E-2</v>
      </c>
      <c r="Y80" s="10">
        <v>-0.22743987580118252</v>
      </c>
      <c r="Z80" s="10">
        <v>3.4918956021752212E-3</v>
      </c>
      <c r="AA80" s="10">
        <v>-5.0362607874227083E-2</v>
      </c>
      <c r="AB80" s="10">
        <v>0.67073370693643564</v>
      </c>
      <c r="AC80" s="2">
        <v>-1.2810658243346706E-2</v>
      </c>
      <c r="AD80" s="2">
        <v>-8.6389984842657142E-2</v>
      </c>
      <c r="AE80" s="2">
        <v>6.6825576526704955E-2</v>
      </c>
      <c r="AF80" s="2">
        <v>-0.65812517004547755</v>
      </c>
      <c r="AG80" s="2">
        <v>-0.72203301919835217</v>
      </c>
      <c r="AH80" s="2">
        <v>-0.64200491597704823</v>
      </c>
      <c r="AI80" s="2">
        <v>8.4843278599563643E-2</v>
      </c>
      <c r="AJ80" s="2">
        <v>-0.12402078458899735</v>
      </c>
      <c r="AK80" s="2">
        <v>8.4625557443522847E-2</v>
      </c>
      <c r="AL80" s="2">
        <v>7.662969535713704E-2</v>
      </c>
      <c r="AM80" s="2">
        <v>-0.11199087202968838</v>
      </c>
      <c r="AN80" s="2">
        <v>-0.11541820526103874</v>
      </c>
    </row>
    <row r="81" spans="1:40" x14ac:dyDescent="0.25">
      <c r="A81" s="1">
        <f t="shared" si="1"/>
        <v>43891</v>
      </c>
      <c r="B81" s="10">
        <v>-9.5852173756056924E-3</v>
      </c>
      <c r="C81" s="10">
        <v>-3.6696091835244027E-2</v>
      </c>
      <c r="D81" s="10">
        <v>-0.18198498567296484</v>
      </c>
      <c r="E81" s="10">
        <v>-0.18595336807222851</v>
      </c>
      <c r="F81" s="10">
        <v>9.7660082270907278E-3</v>
      </c>
      <c r="G81" s="10">
        <v>3.2347561528658808E-2</v>
      </c>
      <c r="H81" s="10">
        <v>-5.0781807591937511E-3</v>
      </c>
      <c r="I81" s="10">
        <v>-3.5298394046153869E-2</v>
      </c>
      <c r="J81" s="10">
        <v>3.3678302328623344E-2</v>
      </c>
      <c r="K81" s="10">
        <v>-8.7725785887778684E-2</v>
      </c>
      <c r="L81" s="10">
        <v>0.12706913098165162</v>
      </c>
      <c r="M81" s="10">
        <v>-8.5714975487657941E-2</v>
      </c>
      <c r="N81" s="10">
        <v>0.35342339442548054</v>
      </c>
      <c r="O81" s="10">
        <v>9.5188750234267427E-3</v>
      </c>
      <c r="P81" s="10">
        <v>-2.8644347188832242E-2</v>
      </c>
      <c r="Q81" s="10">
        <v>-0.10193809564952394</v>
      </c>
      <c r="R81" s="10">
        <v>-2.5630512753193502E-2</v>
      </c>
      <c r="S81" s="10">
        <v>5.332810778931929E-2</v>
      </c>
      <c r="T81" s="10">
        <v>2.717338656458046E-2</v>
      </c>
      <c r="U81" s="10">
        <v>2.9376036421333129E-2</v>
      </c>
      <c r="V81" s="10">
        <v>-3.2558492223361823E-2</v>
      </c>
      <c r="W81" s="10">
        <v>2.7237991673140893E-2</v>
      </c>
      <c r="X81" s="10">
        <v>-2.6464810573802122E-2</v>
      </c>
      <c r="Y81" s="10">
        <v>3.3196434208462744E-2</v>
      </c>
      <c r="Z81" s="10">
        <v>-2.1356641313951319E-2</v>
      </c>
      <c r="AA81" s="10">
        <v>-6.2568131664278992E-2</v>
      </c>
      <c r="AB81" s="10">
        <v>5.5821346442794795E-2</v>
      </c>
      <c r="AC81" s="2">
        <v>-3.4171165471953313E-2</v>
      </c>
      <c r="AD81" s="2">
        <v>-2.9624604767537699E-2</v>
      </c>
      <c r="AE81" s="2">
        <v>4.4214437465400547E-2</v>
      </c>
      <c r="AF81" s="2">
        <v>0.10612608099093479</v>
      </c>
      <c r="AG81" s="2">
        <v>0.11347035919105108</v>
      </c>
      <c r="AH81" s="2">
        <v>9.6708142684818199E-2</v>
      </c>
      <c r="AI81" s="2">
        <v>5.9280161658217256E-2</v>
      </c>
      <c r="AJ81" s="2">
        <v>4.4378700434306584E-3</v>
      </c>
      <c r="AK81" s="2">
        <v>0.13707559565159211</v>
      </c>
      <c r="AL81" s="2">
        <v>1.5807857070901044E-2</v>
      </c>
      <c r="AM81" s="2">
        <v>7.4495071965052784E-3</v>
      </c>
      <c r="AN81" s="2">
        <v>2.6251112701395574E-2</v>
      </c>
    </row>
    <row r="82" spans="1:40" x14ac:dyDescent="0.25">
      <c r="A82" s="1">
        <f t="shared" si="1"/>
        <v>43983</v>
      </c>
      <c r="B82" s="10">
        <v>1.1321039243108011E-2</v>
      </c>
      <c r="C82" s="10">
        <v>-5.9257661880232737E-2</v>
      </c>
      <c r="D82" s="10">
        <v>-0.48892279029280283</v>
      </c>
      <c r="E82" s="10">
        <v>-0.49765835987002049</v>
      </c>
      <c r="F82" s="10">
        <v>4.2190824436497465E-2</v>
      </c>
      <c r="G82" s="10">
        <v>-0.3194868091538251</v>
      </c>
      <c r="H82" s="10">
        <v>6.3993095608625428E-3</v>
      </c>
      <c r="I82" s="10">
        <v>-1.9316141526474984E-2</v>
      </c>
      <c r="J82" s="10">
        <v>3.7314028745889294E-2</v>
      </c>
      <c r="K82" s="10">
        <v>-0.13836985042196948</v>
      </c>
      <c r="L82" s="10">
        <v>0.15182519459924704</v>
      </c>
      <c r="M82" s="10">
        <v>-7.9025118682216733E-2</v>
      </c>
      <c r="N82" s="10">
        <v>-0.72274102076540148</v>
      </c>
      <c r="O82" s="10">
        <v>3.8385008531809817E-2</v>
      </c>
      <c r="P82" s="10">
        <v>-4.1709449522993047E-3</v>
      </c>
      <c r="Q82" s="10">
        <v>-9.8948248955785689E-2</v>
      </c>
      <c r="R82" s="10">
        <v>5.7910133531283714E-2</v>
      </c>
      <c r="S82" s="10">
        <v>4.3631498609631336E-2</v>
      </c>
      <c r="T82" s="10">
        <v>0.11792138162310173</v>
      </c>
      <c r="U82" s="10">
        <v>1.238936692336523E-2</v>
      </c>
      <c r="V82" s="10">
        <v>2.0963592433402178E-2</v>
      </c>
      <c r="W82" s="10">
        <v>7.5180108922366928E-2</v>
      </c>
      <c r="X82" s="10">
        <v>6.709817577169086E-2</v>
      </c>
      <c r="Y82" s="10">
        <v>-4.8815822638412998E-2</v>
      </c>
      <c r="Z82" s="10">
        <v>3.4094573933873829E-3</v>
      </c>
      <c r="AA82" s="10">
        <v>2.4752497170054566E-2</v>
      </c>
      <c r="AB82" s="10">
        <v>1.9812332167752378</v>
      </c>
      <c r="AC82" s="2">
        <v>-6.9287723914247867E-2</v>
      </c>
      <c r="AD82" s="2">
        <v>-5.1065883057615058E-2</v>
      </c>
      <c r="AE82" s="2">
        <v>3.0248566197617288E-2</v>
      </c>
      <c r="AF82" s="2">
        <v>-0.19027924031067101</v>
      </c>
      <c r="AG82" s="2">
        <v>-0.22365445214159207</v>
      </c>
      <c r="AH82" s="2">
        <v>-0.19105826032135276</v>
      </c>
      <c r="AI82" s="2">
        <v>0.11821455573163897</v>
      </c>
      <c r="AJ82" s="2">
        <v>-9.8463857252704567E-2</v>
      </c>
      <c r="AK82" s="2">
        <v>0.22726289487652052</v>
      </c>
      <c r="AL82" s="2">
        <v>7.1869444190736598E-2</v>
      </c>
      <c r="AM82" s="2">
        <v>-8.6544060309596049E-2</v>
      </c>
      <c r="AN82" s="2">
        <v>-4.2368434261293331E-2</v>
      </c>
    </row>
    <row r="83" spans="1:40" x14ac:dyDescent="0.25">
      <c r="A83" s="1">
        <f t="shared" si="1"/>
        <v>44075</v>
      </c>
      <c r="B83" s="10">
        <v>-1.997055050503227E-2</v>
      </c>
      <c r="C83" s="10">
        <v>-1.5536720227931067E-2</v>
      </c>
      <c r="D83" s="10">
        <v>-0.25600520150225792</v>
      </c>
      <c r="E83" s="10">
        <v>-0.26250788909200884</v>
      </c>
      <c r="F83" s="10">
        <v>0.11806723046042999</v>
      </c>
      <c r="G83" s="10">
        <v>-8.6115444949559139E-2</v>
      </c>
      <c r="H83" s="10">
        <v>-3.7190839799212672E-2</v>
      </c>
      <c r="I83" s="10">
        <v>-4.8651299971254613E-2</v>
      </c>
      <c r="J83" s="10">
        <v>-2.4356324265039753E-2</v>
      </c>
      <c r="K83" s="10">
        <v>-0.18997772004963442</v>
      </c>
      <c r="L83" s="10">
        <v>0.13688869451155594</v>
      </c>
      <c r="M83" s="10">
        <v>-0.12831136416220179</v>
      </c>
      <c r="N83" s="10">
        <v>-0.17538047145478508</v>
      </c>
      <c r="O83" s="10">
        <v>4.8613946505142502E-2</v>
      </c>
      <c r="P83" s="10">
        <v>-8.3573208345476768E-2</v>
      </c>
      <c r="Q83" s="10">
        <v>-8.3926228770115796E-2</v>
      </c>
      <c r="R83" s="10">
        <v>1.0656587846101351E-2</v>
      </c>
      <c r="S83" s="10">
        <v>-2.8877415079622604E-2</v>
      </c>
      <c r="T83" s="10">
        <v>7.6284311515053549E-2</v>
      </c>
      <c r="U83" s="10">
        <v>2.2479628408313301E-2</v>
      </c>
      <c r="V83" s="10">
        <v>1.3381470462139333E-3</v>
      </c>
      <c r="W83" s="10">
        <v>-1.9754434203446691E-2</v>
      </c>
      <c r="X83" s="10">
        <v>-3.3087407282226144E-2</v>
      </c>
      <c r="Y83" s="10">
        <v>-0.11408076227495267</v>
      </c>
      <c r="Z83" s="10">
        <v>4.2009049728359837E-3</v>
      </c>
      <c r="AA83" s="10">
        <v>-3.1688608269541785E-2</v>
      </c>
      <c r="AB83" s="10">
        <v>0.91873509221110927</v>
      </c>
      <c r="AC83" s="2">
        <v>-1.7293412075528591E-2</v>
      </c>
      <c r="AD83" s="2">
        <v>-8.6428535680159735E-3</v>
      </c>
      <c r="AE83" s="2">
        <v>3.069245369427831E-2</v>
      </c>
      <c r="AF83" s="2">
        <v>-0.38130170327645896</v>
      </c>
      <c r="AG83" s="2">
        <v>-0.42831618351605305</v>
      </c>
      <c r="AH83" s="2">
        <v>-0.36627305373119523</v>
      </c>
      <c r="AI83" s="2">
        <v>2.3476572976852239E-2</v>
      </c>
      <c r="AJ83" s="2">
        <v>-9.9854773520044682E-2</v>
      </c>
      <c r="AK83" s="2">
        <v>0.2532365046853251</v>
      </c>
      <c r="AL83" s="2">
        <v>6.4680659951289465E-2</v>
      </c>
      <c r="AM83" s="2">
        <v>-8.818426218062636E-2</v>
      </c>
      <c r="AN83" s="2">
        <v>-7.2474158559661217E-2</v>
      </c>
    </row>
    <row r="84" spans="1:40" x14ac:dyDescent="0.25">
      <c r="A84" s="1">
        <f t="shared" si="1"/>
        <v>44166</v>
      </c>
      <c r="B84" s="10">
        <v>-4.6514676165079205E-2</v>
      </c>
      <c r="C84" s="10">
        <v>1.0739330717765228E-2</v>
      </c>
      <c r="D84" s="10">
        <v>-0.26918706357053468</v>
      </c>
      <c r="E84" s="10">
        <v>-0.27256204881761337</v>
      </c>
      <c r="F84" s="10">
        <v>-1.4643592859388765E-2</v>
      </c>
      <c r="G84" s="10">
        <v>-0.14813753815981878</v>
      </c>
      <c r="H84" s="10">
        <v>-1.6901453825595381E-2</v>
      </c>
      <c r="I84" s="10">
        <v>-3.4157825032566924E-2</v>
      </c>
      <c r="J84" s="10">
        <v>4.4434215102584496E-3</v>
      </c>
      <c r="K84" s="10">
        <v>-0.19139747915127969</v>
      </c>
      <c r="L84" s="10">
        <v>0.10589486849639185</v>
      </c>
      <c r="M84" s="10">
        <v>-0.10852496360892494</v>
      </c>
      <c r="N84" s="10">
        <v>-0.37578969812621354</v>
      </c>
      <c r="O84" s="10">
        <v>3.5413910197688914E-2</v>
      </c>
      <c r="P84" s="10">
        <v>-8.0223541412849708E-2</v>
      </c>
      <c r="Q84" s="10">
        <v>-6.4372286139875334E-2</v>
      </c>
      <c r="R84" s="10">
        <v>5.459462656646541E-2</v>
      </c>
      <c r="S84" s="10">
        <v>2.9654468642651421E-2</v>
      </c>
      <c r="T84" s="10">
        <v>-2.4499054808041154E-2</v>
      </c>
      <c r="U84" s="10">
        <v>7.1256710124026901E-2</v>
      </c>
      <c r="V84" s="10">
        <v>5.9921894294457267E-2</v>
      </c>
      <c r="W84" s="10">
        <v>1.9822304249391909E-2</v>
      </c>
      <c r="X84" s="10">
        <v>-5.4242155795067415E-2</v>
      </c>
      <c r="Y84" s="10">
        <v>8.4224135000543043E-2</v>
      </c>
      <c r="Z84" s="10">
        <v>-1.9699824616129069E-2</v>
      </c>
      <c r="AA84" s="10">
        <v>-9.966068623450286E-3</v>
      </c>
      <c r="AB84" s="10">
        <v>-0.95322592385694549</v>
      </c>
      <c r="AC84" s="2">
        <v>-2.2500761040798123E-2</v>
      </c>
      <c r="AD84" s="2">
        <v>1.6325748750648517E-2</v>
      </c>
      <c r="AE84" s="2">
        <v>5.3791959603278094E-2</v>
      </c>
      <c r="AF84" s="2">
        <v>0.62232329852817281</v>
      </c>
      <c r="AG84" s="2">
        <v>0.82724714632157914</v>
      </c>
      <c r="AH84" s="2">
        <v>0.59200356118268505</v>
      </c>
      <c r="AI84" s="2">
        <v>-1.2483663804006229E-2</v>
      </c>
      <c r="AJ84" s="2">
        <v>-3.0776953684244268E-2</v>
      </c>
      <c r="AK84" s="2">
        <v>0.22801075927515257</v>
      </c>
      <c r="AL84" s="2">
        <v>-2.9155783062308926E-2</v>
      </c>
      <c r="AM84" s="2">
        <v>-2.9158246343996663E-2</v>
      </c>
      <c r="AN84" s="2">
        <v>5.8382089218582678E-3</v>
      </c>
    </row>
    <row r="85" spans="1:40" x14ac:dyDescent="0.25">
      <c r="A85" s="1">
        <f t="shared" si="1"/>
        <v>44256</v>
      </c>
      <c r="B85" s="10">
        <v>4.6497348451025156E-2</v>
      </c>
      <c r="C85" s="10">
        <v>8.1728971406955786E-3</v>
      </c>
      <c r="D85" s="10">
        <v>9.7389813586790108E-2</v>
      </c>
      <c r="E85" s="10">
        <v>9.626973346447687E-2</v>
      </c>
      <c r="F85" s="10">
        <v>0.14761703884351918</v>
      </c>
      <c r="G85" s="10">
        <v>9.8259056402409284E-2</v>
      </c>
      <c r="H85" s="10">
        <v>-2.7646896439959323E-2</v>
      </c>
      <c r="I85" s="10">
        <v>-2.1544091271230359E-2</v>
      </c>
      <c r="J85" s="10">
        <v>-3.4696445661878239E-2</v>
      </c>
      <c r="K85" s="10">
        <v>-0.10637590899616811</v>
      </c>
      <c r="L85" s="10">
        <v>4.8055494795912646E-2</v>
      </c>
      <c r="M85" s="10">
        <v>-2.7035514806400096E-2</v>
      </c>
      <c r="N85" s="10">
        <v>0.44159490730985684</v>
      </c>
      <c r="O85" s="10">
        <v>-4.5049124236654969E-2</v>
      </c>
      <c r="P85" s="10">
        <v>-8.9643783387329257E-2</v>
      </c>
      <c r="Q85" s="10">
        <v>-7.1599144751470778E-2</v>
      </c>
      <c r="R85" s="10">
        <v>0.11716285799197124</v>
      </c>
      <c r="S85" s="10">
        <v>6.5240955179531879E-2</v>
      </c>
      <c r="T85" s="10">
        <v>2.6157693484034406E-2</v>
      </c>
      <c r="U85" s="10">
        <v>3.210243864391682E-2</v>
      </c>
      <c r="V85" s="10">
        <v>0.16486077141439681</v>
      </c>
      <c r="W85" s="10">
        <v>-2.7265267803274873E-2</v>
      </c>
      <c r="X85" s="10">
        <v>-3.526128443105514E-3</v>
      </c>
      <c r="Y85" s="10">
        <v>2.3641690784531377E-2</v>
      </c>
      <c r="Z85" s="10">
        <v>4.7089910096912879E-2</v>
      </c>
      <c r="AA85" s="10">
        <v>4.3807161656611582E-2</v>
      </c>
      <c r="AB85" s="10">
        <v>0.76604964556005894</v>
      </c>
      <c r="AC85" s="2">
        <v>1.1958281425027195E-2</v>
      </c>
      <c r="AD85" s="2">
        <v>1.6731996027342655E-2</v>
      </c>
      <c r="AE85" s="2">
        <v>7.3614342387258169E-2</v>
      </c>
      <c r="AF85" s="2">
        <v>-6.9552868430500236E-4</v>
      </c>
      <c r="AG85" s="2">
        <v>3.4657255763550499E-3</v>
      </c>
      <c r="AH85" s="2">
        <v>-1.3137132071801116E-2</v>
      </c>
      <c r="AI85" s="2">
        <v>6.0907787315499951E-2</v>
      </c>
      <c r="AJ85" s="2">
        <v>3.5468366453049294E-2</v>
      </c>
      <c r="AK85" s="2">
        <v>0.17379358888388841</v>
      </c>
      <c r="AL85" s="2">
        <v>9.9462720700371765E-2</v>
      </c>
      <c r="AM85" s="2">
        <v>4.0220159139163991E-2</v>
      </c>
      <c r="AN85" s="2">
        <v>3.510071635783496E-2</v>
      </c>
    </row>
    <row r="86" spans="1:40" x14ac:dyDescent="0.25">
      <c r="A86" s="1">
        <f t="shared" si="1"/>
        <v>44348</v>
      </c>
      <c r="B86" s="10">
        <v>6.4569645712762025E-2</v>
      </c>
      <c r="C86" s="10">
        <v>1.2875645452506523E-2</v>
      </c>
      <c r="D86" s="10">
        <v>1.1616834299294054</v>
      </c>
      <c r="E86" s="10">
        <v>1.1898657786892288</v>
      </c>
      <c r="F86" s="10">
        <v>0.27382165909001333</v>
      </c>
      <c r="G86" s="10">
        <v>0.65573937203990273</v>
      </c>
      <c r="H86" s="10">
        <v>4.725411340044916E-2</v>
      </c>
      <c r="I86" s="10">
        <v>3.7199604988502166E-2</v>
      </c>
      <c r="J86" s="10">
        <v>5.9227786057346909E-2</v>
      </c>
      <c r="K86" s="10">
        <v>1.932542814181204E-2</v>
      </c>
      <c r="L86" s="10">
        <v>3.6373432570467434E-2</v>
      </c>
      <c r="M86" s="10">
        <v>-2.7360650176465384E-2</v>
      </c>
      <c r="N86" s="10">
        <v>3.1869227621198091</v>
      </c>
      <c r="O86" s="10">
        <v>0.19484086856805383</v>
      </c>
      <c r="P86" s="10">
        <v>-0.13045543245177815</v>
      </c>
      <c r="Q86" s="10">
        <v>-5.6286564440671261E-2</v>
      </c>
      <c r="R86" s="10">
        <v>8.2908795346391395E-2</v>
      </c>
      <c r="S86" s="10">
        <v>0.10439323423722913</v>
      </c>
      <c r="T86" s="10">
        <v>-3.6449494680328764E-2</v>
      </c>
      <c r="U86" s="10">
        <v>5.6757080642690916E-2</v>
      </c>
      <c r="V86" s="10">
        <v>0.15262938017770766</v>
      </c>
      <c r="W86" s="10">
        <v>-8.0932505344599281E-2</v>
      </c>
      <c r="X86" s="10">
        <v>6.5920780863236272E-2</v>
      </c>
      <c r="Y86" s="10">
        <v>2.5686362111881023E-2</v>
      </c>
      <c r="Z86" s="10">
        <v>9.7237606866140691E-3</v>
      </c>
      <c r="AA86" s="10">
        <v>-3.134379340828497E-3</v>
      </c>
      <c r="AB86" s="10">
        <v>-0.54778789007203588</v>
      </c>
      <c r="AC86" s="2">
        <v>3.724178115912391E-2</v>
      </c>
      <c r="AD86" s="2">
        <v>2.5248288246373152E-2</v>
      </c>
      <c r="AE86" s="2">
        <v>9.3141053709016042E-2</v>
      </c>
      <c r="AF86" s="2">
        <v>8.1096208298541361E-2</v>
      </c>
      <c r="AG86" s="2">
        <v>0.10477958965933643</v>
      </c>
      <c r="AH86" s="2">
        <v>6.7097246710871028E-2</v>
      </c>
      <c r="AI86" s="2">
        <v>1.5048260944776626E-3</v>
      </c>
      <c r="AJ86" s="2">
        <v>0.16983206312272148</v>
      </c>
      <c r="AK86" s="2">
        <v>0.16757760014375789</v>
      </c>
      <c r="AL86" s="2">
        <v>8.8789357072952546E-2</v>
      </c>
      <c r="AM86" s="2">
        <v>0.16521095860623536</v>
      </c>
      <c r="AN86" s="2">
        <v>8.6748300679106549E-2</v>
      </c>
    </row>
    <row r="87" spans="1:40" x14ac:dyDescent="0.25">
      <c r="A87" s="1">
        <f t="shared" si="1"/>
        <v>44440</v>
      </c>
      <c r="B87" s="10">
        <v>0.1115996754797528</v>
      </c>
      <c r="C87" s="10">
        <v>-1.2974219561990741E-2</v>
      </c>
      <c r="D87" s="10">
        <v>0.82532670712198342</v>
      </c>
      <c r="E87" s="10">
        <v>0.84098409586808387</v>
      </c>
      <c r="F87" s="10">
        <v>0.1925188315141555</v>
      </c>
      <c r="G87" s="10">
        <v>0.45922676861909761</v>
      </c>
      <c r="H87" s="10">
        <v>4.8882403472958913E-2</v>
      </c>
      <c r="I87" s="10">
        <v>6.984250154488536E-2</v>
      </c>
      <c r="J87" s="10">
        <v>2.477140017130508E-2</v>
      </c>
      <c r="K87" s="10">
        <v>0.14175627842947414</v>
      </c>
      <c r="L87" s="10">
        <v>4.8384579809162886E-2</v>
      </c>
      <c r="M87" s="10">
        <v>5.853515730590364E-2</v>
      </c>
      <c r="N87" s="10">
        <v>1.4040973952981988</v>
      </c>
      <c r="O87" s="10">
        <v>0.10574237018190269</v>
      </c>
      <c r="P87" s="10">
        <v>-3.0302156570593541E-2</v>
      </c>
      <c r="Q87" s="10">
        <v>-4.927718613081733E-2</v>
      </c>
      <c r="R87" s="10">
        <v>9.3537655052553292E-2</v>
      </c>
      <c r="S87" s="10">
        <v>0.13915226034440908</v>
      </c>
      <c r="T87" s="10">
        <v>7.7909352981770486E-2</v>
      </c>
      <c r="U87" s="10">
        <v>6.695652919729933E-2</v>
      </c>
      <c r="V87" s="10">
        <v>0.14444533506194412</v>
      </c>
      <c r="W87" s="10">
        <v>-7.8778722141269464E-3</v>
      </c>
      <c r="X87" s="10">
        <v>5.051558204925044E-2</v>
      </c>
      <c r="Y87" s="10">
        <v>9.4064073817306637E-2</v>
      </c>
      <c r="Z87" s="10">
        <v>3.450242124732128E-2</v>
      </c>
      <c r="AA87" s="10">
        <v>0.10987639476785671</v>
      </c>
      <c r="AB87" s="10">
        <v>-0.39687458968638101</v>
      </c>
      <c r="AC87" s="2">
        <v>3.1922775919412949E-3</v>
      </c>
      <c r="AD87" s="2">
        <v>4.613269962059352E-4</v>
      </c>
      <c r="AE87" s="2">
        <v>0.10748974943238143</v>
      </c>
      <c r="AF87" s="2">
        <v>0.32137643905781332</v>
      </c>
      <c r="AG87" s="2">
        <v>0.38684743073913874</v>
      </c>
      <c r="AH87" s="2">
        <v>0.2825832564244144</v>
      </c>
      <c r="AI87" s="2">
        <v>9.8300786172132559E-2</v>
      </c>
      <c r="AJ87" s="2">
        <v>0.18979979179560735</v>
      </c>
      <c r="AK87" s="2">
        <v>0.14023886921451068</v>
      </c>
      <c r="AL87" s="2">
        <v>5.6655820954376823E-2</v>
      </c>
      <c r="AM87" s="2">
        <v>0.18163321390916809</v>
      </c>
      <c r="AN87" s="2">
        <v>0.12141522127529547</v>
      </c>
    </row>
    <row r="88" spans="1:40" x14ac:dyDescent="0.25">
      <c r="A88" s="1">
        <f t="shared" si="1"/>
        <v>44531</v>
      </c>
      <c r="B88" s="10">
        <v>9.2090538272679545E-2</v>
      </c>
      <c r="C88" s="10">
        <v>-2.7116121195513987E-3</v>
      </c>
      <c r="D88" s="10">
        <v>1.2184715473208532</v>
      </c>
      <c r="E88" s="10">
        <v>1.2279620901763111</v>
      </c>
      <c r="F88" s="10">
        <v>0.51180118367211191</v>
      </c>
      <c r="G88" s="10">
        <v>0.68187046516886118</v>
      </c>
      <c r="H88" s="10">
        <v>5.2612727866501396E-2</v>
      </c>
      <c r="I88" s="10">
        <v>5.7522918062108852E-2</v>
      </c>
      <c r="J88" s="10">
        <v>4.6753194120438879E-2</v>
      </c>
      <c r="K88" s="10">
        <v>0.27236345080244151</v>
      </c>
      <c r="L88" s="10">
        <v>0.11112556139346941</v>
      </c>
      <c r="M88" s="10">
        <v>4.0656002682434966E-2</v>
      </c>
      <c r="N88" s="10">
        <v>2.0571703846191358</v>
      </c>
      <c r="O88" s="10">
        <v>0.13751173119998761</v>
      </c>
      <c r="P88" s="10">
        <v>-6.3371009210827611E-2</v>
      </c>
      <c r="Q88" s="10">
        <v>-9.7911508594441088E-2</v>
      </c>
      <c r="R88" s="10">
        <v>-4.5953786767432336E-2</v>
      </c>
      <c r="S88" s="10">
        <v>-0.1509043255155923</v>
      </c>
      <c r="T88" s="10">
        <v>0.16659643050037465</v>
      </c>
      <c r="U88" s="10">
        <v>7.8733655736001662E-2</v>
      </c>
      <c r="V88" s="10">
        <v>8.3032276399306326E-3</v>
      </c>
      <c r="W88" s="10">
        <v>-5.1597409107201009E-2</v>
      </c>
      <c r="X88" s="10">
        <v>0.13277074902310848</v>
      </c>
      <c r="Y88" s="10">
        <v>0.15952205108992268</v>
      </c>
      <c r="Z88" s="10">
        <v>0.13638041971868331</v>
      </c>
      <c r="AA88" s="10">
        <v>0.21592668546713378</v>
      </c>
      <c r="AB88" s="10">
        <v>15.426962983257795</v>
      </c>
      <c r="AC88" s="2">
        <v>1.5841697559799917E-2</v>
      </c>
      <c r="AD88" s="2">
        <v>4.036707405040918E-3</v>
      </c>
      <c r="AE88" s="2">
        <v>0.10894991726641856</v>
      </c>
      <c r="AF88" s="2">
        <v>0.23168161275126353</v>
      </c>
      <c r="AG88" s="2">
        <v>0.26132039984768141</v>
      </c>
      <c r="AH88" s="2">
        <v>0.20468592662662011</v>
      </c>
      <c r="AI88" s="2">
        <v>0.15300753301239101</v>
      </c>
      <c r="AJ88" s="2">
        <v>0.29989908456383474</v>
      </c>
      <c r="AK88" s="2">
        <v>0.20851228843942993</v>
      </c>
      <c r="AL88" s="2">
        <v>8.6093523771076264E-2</v>
      </c>
      <c r="AM88" s="2">
        <v>0.28952366486622072</v>
      </c>
      <c r="AN88" s="2">
        <v>0.19030674072343268</v>
      </c>
    </row>
    <row r="89" spans="1:40" x14ac:dyDescent="0.25">
      <c r="A89" s="1">
        <f t="shared" si="1"/>
        <v>44621</v>
      </c>
      <c r="B89" s="10">
        <v>0.11941027101709678</v>
      </c>
      <c r="C89" s="10">
        <v>2.0008486716409202E-2</v>
      </c>
      <c r="D89" s="53">
        <v>0.99847649631749547</v>
      </c>
      <c r="E89" s="10">
        <v>1.0078629319096013</v>
      </c>
      <c r="F89" s="10">
        <v>0.4241711293460908</v>
      </c>
      <c r="G89" s="10">
        <v>0.7290912984382345</v>
      </c>
      <c r="H89" s="10">
        <v>7.1600820408849852E-2</v>
      </c>
      <c r="I89" s="10">
        <v>0.11806428196648011</v>
      </c>
      <c r="J89" s="10">
        <v>2.4604401596112213E-2</v>
      </c>
      <c r="K89" s="10">
        <v>0.27362680528432826</v>
      </c>
      <c r="L89" s="10">
        <v>8.1373854818224345E-2</v>
      </c>
      <c r="M89" s="10">
        <v>-6.2964379611347931E-2</v>
      </c>
      <c r="N89" s="10">
        <v>1.5505823518729875</v>
      </c>
      <c r="O89" s="10">
        <v>0.21115479124874614</v>
      </c>
      <c r="P89" s="10">
        <v>-5.9036505886851165E-2</v>
      </c>
      <c r="Q89" s="10">
        <v>0.11030787704883105</v>
      </c>
      <c r="R89" s="10">
        <v>0.18579810790311457</v>
      </c>
      <c r="S89" s="10">
        <v>-3.9373814041745669E-2</v>
      </c>
      <c r="T89" s="10">
        <v>0.15301006765665859</v>
      </c>
      <c r="U89" s="10">
        <v>0.12946742585962712</v>
      </c>
      <c r="V89" s="10">
        <v>8.4608126368255654E-2</v>
      </c>
      <c r="W89" s="10">
        <v>-4.6133583036607195E-3</v>
      </c>
      <c r="X89" s="10">
        <v>7.7959200956898123E-2</v>
      </c>
      <c r="Y89" s="10">
        <v>-9.1612470160262749E-2</v>
      </c>
      <c r="Z89" s="10">
        <v>0.19607250769290263</v>
      </c>
      <c r="AA89" s="10">
        <v>0.54254475180406514</v>
      </c>
      <c r="AB89" s="10">
        <v>0.12738049342293589</v>
      </c>
      <c r="AC89" s="2">
        <v>7.08908818599574E-3</v>
      </c>
      <c r="AD89" s="2">
        <v>2.6705607403732401E-2</v>
      </c>
      <c r="AE89" s="2">
        <v>0.12033499845511275</v>
      </c>
      <c r="AF89" s="2">
        <v>-0.43621798805464274</v>
      </c>
      <c r="AG89" s="2">
        <v>-0.46946456921424806</v>
      </c>
      <c r="AH89" s="2">
        <v>-0.42572961773802431</v>
      </c>
      <c r="AI89" s="2">
        <v>0.13805269602669057</v>
      </c>
      <c r="AJ89" s="2">
        <v>0.10632538182841667</v>
      </c>
      <c r="AK89" s="2">
        <v>0.20651516446213192</v>
      </c>
      <c r="AL89" s="2">
        <v>3.6791975765447571E-2</v>
      </c>
      <c r="AM89" s="52">
        <v>0.10531428537880783</v>
      </c>
      <c r="AN89" s="2">
        <v>2.5880070677782863E-2</v>
      </c>
    </row>
    <row r="90" spans="1:40" x14ac:dyDescent="0.25">
      <c r="A90" s="1">
        <f t="shared" si="1"/>
        <v>44713</v>
      </c>
      <c r="B90" s="10">
        <v>0.15672158173937922</v>
      </c>
      <c r="C90" s="10">
        <v>1.6113240760328384E-2</v>
      </c>
      <c r="D90" s="53">
        <v>1.1441043189710642</v>
      </c>
      <c r="E90" s="10">
        <v>1.1482878385101656</v>
      </c>
      <c r="F90" s="10">
        <v>0.81369077543887669</v>
      </c>
      <c r="G90" s="10">
        <v>0.75532805071125431</v>
      </c>
      <c r="H90" s="10">
        <v>0.12664349545651055</v>
      </c>
      <c r="I90" s="10">
        <v>8.668689554379605E-2</v>
      </c>
      <c r="J90" s="10">
        <v>0.1791530016129721</v>
      </c>
      <c r="K90" s="10">
        <v>0.24582792392473629</v>
      </c>
      <c r="L90" s="10">
        <v>2.3228429398773232E-2</v>
      </c>
      <c r="M90" s="10">
        <v>-5.9552106012377148E-2</v>
      </c>
      <c r="N90" s="10">
        <v>1.5395143989679121</v>
      </c>
      <c r="O90" s="10">
        <v>1.1448426534989009E-2</v>
      </c>
      <c r="P90" s="10">
        <v>-4.0272216196350241E-2</v>
      </c>
      <c r="Q90" s="10">
        <v>0.20078462655915352</v>
      </c>
      <c r="R90" s="10">
        <v>0.24132530437998478</v>
      </c>
      <c r="S90" s="10">
        <v>3.039532745082596E-2</v>
      </c>
      <c r="T90" s="10">
        <v>0.1211809129403365</v>
      </c>
      <c r="U90" s="10">
        <v>0.1749045536328131</v>
      </c>
      <c r="V90" s="10">
        <v>7.7144280515019759E-2</v>
      </c>
      <c r="W90" s="10">
        <v>-4.3244014404982822E-3</v>
      </c>
      <c r="X90" s="10">
        <v>8.4777922168169484E-2</v>
      </c>
      <c r="Y90" s="10">
        <v>0.22625326015388736</v>
      </c>
      <c r="Z90" s="10">
        <v>3.7180755814600452E-2</v>
      </c>
      <c r="AA90" s="10">
        <v>5.5068385509031703E-3</v>
      </c>
      <c r="AB90" s="10">
        <v>0.51498512888723136</v>
      </c>
      <c r="AC90" s="2">
        <v>1.4550684114578383E-2</v>
      </c>
      <c r="AD90" s="2">
        <v>1.8201793788146015E-2</v>
      </c>
      <c r="AE90" s="2">
        <v>8.7906902542286058E-2</v>
      </c>
      <c r="AF90" s="2">
        <v>0.90694210667404707</v>
      </c>
      <c r="AG90" s="2">
        <v>1.0684567744191424</v>
      </c>
      <c r="AH90" s="2">
        <v>0.88773424516826926</v>
      </c>
      <c r="AI90" s="2">
        <v>1.457996629340963E-2</v>
      </c>
      <c r="AJ90" s="2">
        <v>0.35874563769456791</v>
      </c>
      <c r="AK90" s="2">
        <v>0.11823625082667677</v>
      </c>
      <c r="AL90" s="2">
        <v>4.3801505135893093E-2</v>
      </c>
      <c r="AM90" s="52">
        <v>0.34055911358881774</v>
      </c>
      <c r="AN90" s="2">
        <v>0.23406444083701072</v>
      </c>
    </row>
    <row r="91" spans="1:40" x14ac:dyDescent="0.25">
      <c r="A91" s="1">
        <f>EDATE(A90,3)</f>
        <v>44805</v>
      </c>
      <c r="B91" s="10">
        <v>0.14246191635927663</v>
      </c>
      <c r="C91" s="10">
        <v>1.8693906335467414E-2</v>
      </c>
      <c r="D91" s="53">
        <v>1.3886851510212184</v>
      </c>
      <c r="E91" s="10">
        <v>1.393511201408931</v>
      </c>
      <c r="F91" s="10">
        <v>0.94103955326730326</v>
      </c>
      <c r="G91" s="10">
        <v>0.33488954212947286</v>
      </c>
      <c r="H91" s="10">
        <v>0.11052730763898366</v>
      </c>
      <c r="I91" s="10">
        <v>8.5735467020760181E-2</v>
      </c>
      <c r="J91" s="10">
        <v>0.14217259343276045</v>
      </c>
      <c r="K91" s="10">
        <v>0.19750043656436178</v>
      </c>
      <c r="L91" s="10">
        <v>8.5157258539884095E-2</v>
      </c>
      <c r="M91" s="10">
        <v>-4.0998216850944513E-2</v>
      </c>
      <c r="N91" s="10">
        <v>0.51103425625353394</v>
      </c>
      <c r="O91" s="10">
        <v>2.3245576172664872E-2</v>
      </c>
      <c r="P91" s="10">
        <v>-2.4344808456986611E-2</v>
      </c>
      <c r="Q91" s="10">
        <v>0.21244307924699446</v>
      </c>
      <c r="R91" s="10">
        <v>0.24469042712288069</v>
      </c>
      <c r="S91" s="10">
        <v>0.22845929195828552</v>
      </c>
      <c r="T91" s="10">
        <v>8.3431317864872678E-2</v>
      </c>
      <c r="U91" s="10">
        <v>0.12885559878458808</v>
      </c>
      <c r="V91" s="10">
        <v>7.6232915874143492E-2</v>
      </c>
      <c r="W91" s="10">
        <v>4.8753235060399192E-3</v>
      </c>
      <c r="X91" s="10">
        <v>3.4619165001437135E-2</v>
      </c>
      <c r="Y91" s="10">
        <v>0.20845567823559241</v>
      </c>
      <c r="Z91" s="10">
        <v>4.2608654357787934E-2</v>
      </c>
      <c r="AA91" s="10">
        <v>1.8603924357154522E-2</v>
      </c>
      <c r="AB91" s="10">
        <v>0.50990260820171263</v>
      </c>
      <c r="AC91" s="2">
        <v>4.1340838015548886E-3</v>
      </c>
      <c r="AD91" s="2">
        <v>1.7844295118700559E-2</v>
      </c>
      <c r="AE91" s="2">
        <v>6.9656973070115757E-2</v>
      </c>
      <c r="AF91" s="2">
        <v>0.72216192707596516</v>
      </c>
      <c r="AG91" s="2">
        <v>0.82127828674249903</v>
      </c>
      <c r="AH91" s="2">
        <v>0.71673510758024372</v>
      </c>
      <c r="AI91" s="2">
        <v>4.1160845423653392E-2</v>
      </c>
      <c r="AJ91" s="2">
        <v>0.34517829743093298</v>
      </c>
      <c r="AK91" s="2">
        <v>0.18463332620294337</v>
      </c>
      <c r="AL91" s="2">
        <v>9.0009720101531965E-2</v>
      </c>
      <c r="AM91" s="52">
        <v>0.3315853380413869</v>
      </c>
      <c r="AN91" s="2">
        <v>0.18510206470501633</v>
      </c>
    </row>
    <row r="92" spans="1:40" x14ac:dyDescent="0.25">
      <c r="A92" s="1">
        <f t="shared" ref="A92:A102" si="2">EDATE(A91,3)</f>
        <v>44896</v>
      </c>
      <c r="B92" s="10">
        <v>0.17273174513767686</v>
      </c>
      <c r="C92" s="10">
        <v>3.2880611122213299E-2</v>
      </c>
      <c r="D92" s="53">
        <v>0.70595787718859659</v>
      </c>
      <c r="E92" s="10">
        <v>0.70829937175466506</v>
      </c>
      <c r="F92" s="10">
        <v>0.60043523853199954</v>
      </c>
      <c r="G92" s="10">
        <v>1.5276029462006235E-2</v>
      </c>
      <c r="H92" s="10">
        <v>9.190427591264716E-2</v>
      </c>
      <c r="I92" s="10">
        <v>0.1381117616805847</v>
      </c>
      <c r="J92" s="10">
        <v>3.7578898285552276E-2</v>
      </c>
      <c r="K92" s="10">
        <v>0.29629531236553319</v>
      </c>
      <c r="L92" s="10">
        <v>-5.2283684565909372E-2</v>
      </c>
      <c r="M92" s="10">
        <v>0.17940234252534593</v>
      </c>
      <c r="N92" s="10">
        <v>-7.8029702668680478E-3</v>
      </c>
      <c r="O92" s="10">
        <v>6.4629313080794448E-2</v>
      </c>
      <c r="P92" s="10">
        <v>3.2505861372273293E-2</v>
      </c>
      <c r="Q92" s="10">
        <v>0.19742677881199899</v>
      </c>
      <c r="R92" s="10">
        <v>0.23735026096503153</v>
      </c>
      <c r="S92" s="10">
        <v>0.62332498597528185</v>
      </c>
      <c r="T92" s="10">
        <v>8.2987716634715714E-2</v>
      </c>
      <c r="U92" s="10">
        <v>0.15461731153769898</v>
      </c>
      <c r="V92" s="10">
        <v>8.3534098501929499E-2</v>
      </c>
      <c r="W92" s="10">
        <v>6.2773608757671351E-3</v>
      </c>
      <c r="X92" s="10">
        <v>9.5595935178481861E-2</v>
      </c>
      <c r="Y92" s="10">
        <v>2.2288934566403018E-2</v>
      </c>
      <c r="Z92" s="10">
        <v>-2.2181470174792883E-2</v>
      </c>
      <c r="AA92" s="10">
        <v>-8.8000618326464553E-2</v>
      </c>
      <c r="AB92" s="10">
        <v>-0.38454848654276952</v>
      </c>
      <c r="AC92" s="2">
        <v>2.4360686253054986E-2</v>
      </c>
      <c r="AD92" s="2">
        <v>4.1684217282381031E-2</v>
      </c>
      <c r="AE92" s="2">
        <v>7.6009182116498986E-2</v>
      </c>
      <c r="AF92" s="2">
        <v>0.15487271946692216</v>
      </c>
      <c r="AG92" s="2">
        <v>0.15322282415795163</v>
      </c>
      <c r="AH92" s="2">
        <v>0.15834620593268434</v>
      </c>
      <c r="AI92" s="2">
        <v>0.15138997925806086</v>
      </c>
      <c r="AJ92" s="2">
        <v>0.15978360148223136</v>
      </c>
      <c r="AK92" s="2">
        <v>7.7917146745531518E-2</v>
      </c>
      <c r="AL92" s="2">
        <v>0.25736136612252847</v>
      </c>
      <c r="AM92" s="52">
        <v>0.16242859349045324</v>
      </c>
      <c r="AN92" s="2">
        <v>6.2434115274821789E-2</v>
      </c>
    </row>
    <row r="93" spans="1:40" x14ac:dyDescent="0.25">
      <c r="A93" s="1">
        <f t="shared" si="2"/>
        <v>44986</v>
      </c>
      <c r="B93" s="10">
        <v>0.22706422936383186</v>
      </c>
      <c r="C93" s="10">
        <v>0.25254084005022825</v>
      </c>
      <c r="D93" s="10">
        <v>9.2989662250359206E-2</v>
      </c>
      <c r="E93" s="10">
        <v>9.1399635950603741E-2</v>
      </c>
      <c r="F93" s="10">
        <v>0.20022293899609411</v>
      </c>
      <c r="G93" s="10">
        <v>-6.8951311169211604E-2</v>
      </c>
      <c r="H93" s="10">
        <v>0.10859996202627054</v>
      </c>
      <c r="I93" s="10">
        <v>5.8616060545428006E-2</v>
      </c>
      <c r="J93" s="10">
        <v>0.17585284886892616</v>
      </c>
      <c r="K93" s="10">
        <v>0.10072913796184491</v>
      </c>
      <c r="L93" s="10">
        <v>5.4477421573029261E-3</v>
      </c>
      <c r="M93" s="10">
        <v>0.22437249577593543</v>
      </c>
      <c r="N93" s="10">
        <v>-0.2358005904415581</v>
      </c>
      <c r="O93" s="10">
        <v>1.3741317191948488E-2</v>
      </c>
      <c r="P93" s="10">
        <v>0.1347030381268266</v>
      </c>
      <c r="Q93" s="10">
        <v>5.8162256435009052E-2</v>
      </c>
      <c r="R93" s="10">
        <v>-5.6279593691549334E-2</v>
      </c>
      <c r="S93" s="10">
        <v>1.3963147230104944E-2</v>
      </c>
      <c r="T93" s="10">
        <v>-6.64130848078055E-2</v>
      </c>
      <c r="U93" s="10">
        <v>-6.2193588172551051E-3</v>
      </c>
      <c r="V93" s="10">
        <v>6.1740192174974728E-2</v>
      </c>
      <c r="W93" s="10">
        <v>1.1438142302180765E-2</v>
      </c>
      <c r="X93" s="10">
        <v>0.11098818673402877</v>
      </c>
      <c r="Y93" s="10">
        <v>9.5066172537855653E-2</v>
      </c>
      <c r="Z93" s="10">
        <v>6.964855410216364E-2</v>
      </c>
      <c r="AA93" s="10">
        <v>6.1684323668433461E-2</v>
      </c>
      <c r="AB93" s="10">
        <v>0.15255517457270185</v>
      </c>
      <c r="AC93" s="2">
        <v>4.6565565122704378E-2</v>
      </c>
      <c r="AD93" s="2">
        <v>0.23280387158934346</v>
      </c>
      <c r="AE93" s="2">
        <v>5.9980084897001795E-2</v>
      </c>
      <c r="AF93" s="2">
        <v>0.15981211799899353</v>
      </c>
      <c r="AG93" s="2">
        <v>0.16826722555873252</v>
      </c>
      <c r="AH93" s="2">
        <v>0.1598738279621168</v>
      </c>
      <c r="AI93" s="2">
        <v>7.7698552851147351E-2</v>
      </c>
      <c r="AJ93" s="2">
        <v>9.8552101708818896E-2</v>
      </c>
      <c r="AK93" s="2">
        <v>-7.002490683004603E-2</v>
      </c>
      <c r="AL93" s="2">
        <v>-3.4022783612409624E-3</v>
      </c>
      <c r="AM93" s="2">
        <v>9.2241362664505333E-2</v>
      </c>
      <c r="AN93" s="2">
        <v>9.2135730755499079E-2</v>
      </c>
    </row>
    <row r="94" spans="1:40" x14ac:dyDescent="0.25">
      <c r="A94" s="1">
        <f t="shared" si="2"/>
        <v>45078</v>
      </c>
      <c r="B94" s="10">
        <v>0.32278555507437301</v>
      </c>
      <c r="C94" s="10">
        <v>0.12084875989539223</v>
      </c>
      <c r="D94" s="10">
        <v>-0.29925099063655203</v>
      </c>
      <c r="E94" s="10">
        <v>-0.30189605044363366</v>
      </c>
      <c r="F94" s="10">
        <v>-9.9418764844698693E-2</v>
      </c>
      <c r="G94" s="10">
        <v>-0.13734565879741778</v>
      </c>
      <c r="H94" s="10">
        <v>-2.8346604884706417E-2</v>
      </c>
      <c r="I94" s="10">
        <v>2.7358361976033807E-2</v>
      </c>
      <c r="J94" s="10">
        <v>-9.1680323144593401E-2</v>
      </c>
      <c r="K94" s="10">
        <v>5.5155677711991702E-2</v>
      </c>
      <c r="L94" s="10">
        <v>5.942450028016677E-2</v>
      </c>
      <c r="M94" s="10">
        <v>0.11724051408266201</v>
      </c>
      <c r="N94" s="10">
        <v>-0.1610012577418527</v>
      </c>
      <c r="O94" s="10">
        <v>-2.8291953235335954E-2</v>
      </c>
      <c r="P94" s="10">
        <v>0.11772270647929606</v>
      </c>
      <c r="Q94" s="10">
        <v>2.4210391916479779E-2</v>
      </c>
      <c r="R94" s="10">
        <v>-3.4771389065064939E-2</v>
      </c>
      <c r="S94" s="10">
        <v>2.9915721125467254E-2</v>
      </c>
      <c r="T94" s="10">
        <v>5.7693657001387511E-2</v>
      </c>
      <c r="U94" s="10">
        <v>-6.6402739211504191E-2</v>
      </c>
      <c r="V94" s="10">
        <v>4.084467617063936E-3</v>
      </c>
      <c r="W94" s="10">
        <v>2.1147114830354141E-2</v>
      </c>
      <c r="X94" s="10">
        <v>0.12601289960306183</v>
      </c>
      <c r="Y94" s="10">
        <v>1.5869785952451476E-2</v>
      </c>
      <c r="Z94" s="10">
        <v>3.8413048140493844E-2</v>
      </c>
      <c r="AA94" s="10">
        <v>2.7081412315671072E-2</v>
      </c>
      <c r="AB94" s="10">
        <v>-0.12741149200824076</v>
      </c>
      <c r="AC94" s="2">
        <v>5.0499060267971574E-2</v>
      </c>
      <c r="AD94" s="2">
        <v>0.11684442135323536</v>
      </c>
      <c r="AE94" s="2">
        <v>4.4389811802770351E-2</v>
      </c>
      <c r="AF94" s="2">
        <v>-3.0270669133695027E-2</v>
      </c>
      <c r="AG94" s="2">
        <v>-3.689720297797261E-2</v>
      </c>
      <c r="AH94" s="2">
        <v>-2.3002217567360872E-2</v>
      </c>
      <c r="AI94" s="2">
        <v>-3.7011673060149963E-4</v>
      </c>
      <c r="AJ94" s="2">
        <v>-2.4580823206846625E-2</v>
      </c>
      <c r="AK94" s="2">
        <v>-7.9836427828301137E-2</v>
      </c>
      <c r="AL94" s="2">
        <v>-5.4752205923688124E-2</v>
      </c>
      <c r="AM94" s="2">
        <v>-2.607738324921538E-2</v>
      </c>
      <c r="AN94" s="2">
        <v>3.9062965947216144E-2</v>
      </c>
    </row>
    <row r="95" spans="1:40" x14ac:dyDescent="0.25">
      <c r="A95" s="1">
        <f t="shared" si="2"/>
        <v>45170</v>
      </c>
      <c r="B95" s="10">
        <v>0.31941845306711869</v>
      </c>
      <c r="C95" s="10">
        <v>0.24125034748706864</v>
      </c>
      <c r="D95" s="10">
        <v>-0.41600201256221014</v>
      </c>
      <c r="E95" s="10">
        <v>-0.42200169336478066</v>
      </c>
      <c r="F95" s="10">
        <v>0.12522819573890165</v>
      </c>
      <c r="G95" s="10">
        <v>-7.02533824047612E-2</v>
      </c>
      <c r="H95" s="10">
        <v>2.1913493526578787E-2</v>
      </c>
      <c r="I95" s="10">
        <v>6.7317648774597227E-2</v>
      </c>
      <c r="J95" s="10">
        <v>-3.189943516800442E-2</v>
      </c>
      <c r="K95" s="10">
        <v>0.1546046396057672</v>
      </c>
      <c r="L95" s="10">
        <v>0.14022654182380978</v>
      </c>
      <c r="M95" s="10">
        <v>0.11919191663661244</v>
      </c>
      <c r="N95" s="10">
        <v>-0.1249602084262692</v>
      </c>
      <c r="O95" s="10">
        <v>4.6277919881680951E-2</v>
      </c>
      <c r="P95" s="10">
        <v>0.10933147073718863</v>
      </c>
      <c r="Q95" s="10">
        <v>2.8420705656698964E-2</v>
      </c>
      <c r="R95" s="10">
        <v>-4.5306052384712969E-2</v>
      </c>
      <c r="S95" s="10">
        <v>5.7809704071678958E-2</v>
      </c>
      <c r="T95" s="10">
        <v>-1.3981217248618671E-2</v>
      </c>
      <c r="U95" s="10">
        <v>-3.5513476180992987E-2</v>
      </c>
      <c r="V95" s="10">
        <v>7.8775842709887467E-2</v>
      </c>
      <c r="W95" s="10">
        <v>5.0497743868333611E-2</v>
      </c>
      <c r="X95" s="10">
        <v>7.3676980362045619E-2</v>
      </c>
      <c r="Y95" s="10">
        <v>0.13119393689377912</v>
      </c>
      <c r="Z95" s="10">
        <v>8.6342161958224306E-2</v>
      </c>
      <c r="AA95" s="10">
        <v>9.5659782925193504E-2</v>
      </c>
      <c r="AB95" s="10">
        <v>0.23189642473457961</v>
      </c>
      <c r="AC95" s="2">
        <v>3.6603152845908538E-2</v>
      </c>
      <c r="AD95" s="2">
        <v>0.2221485909244505</v>
      </c>
      <c r="AE95" s="2">
        <v>6.1281818984121994E-2</v>
      </c>
      <c r="AF95" s="2">
        <v>0.21622476374177246</v>
      </c>
      <c r="AG95" s="2">
        <v>0.23901571746478756</v>
      </c>
      <c r="AH95" s="2">
        <v>0.20882877177533143</v>
      </c>
      <c r="AI95" s="2">
        <v>-1.5056719666500462E-2</v>
      </c>
      <c r="AJ95" s="2">
        <v>-9.64193991612039E-3</v>
      </c>
      <c r="AK95" s="2">
        <v>3.4185284232719493E-3</v>
      </c>
      <c r="AL95" s="2">
        <v>7.3974054101595188E-2</v>
      </c>
      <c r="AM95" s="2">
        <v>-6.2377285425921913E-3</v>
      </c>
      <c r="AN95" s="2">
        <v>0.13025024385507988</v>
      </c>
    </row>
    <row r="96" spans="1:40" x14ac:dyDescent="0.25">
      <c r="A96" s="1">
        <f t="shared" si="2"/>
        <v>45261</v>
      </c>
      <c r="B96" s="10">
        <v>0.26036903250218479</v>
      </c>
      <c r="C96" s="10">
        <v>0.25013118090003594</v>
      </c>
      <c r="D96" s="10">
        <v>-0.3048021676369902</v>
      </c>
      <c r="E96" s="10">
        <v>-0.3094176982520489</v>
      </c>
      <c r="F96" s="10">
        <v>7.0696366465660132E-2</v>
      </c>
      <c r="G96" s="10">
        <v>-3.3543853679773417E-2</v>
      </c>
      <c r="H96" s="10">
        <v>5.0550154138073511E-2</v>
      </c>
      <c r="I96" s="10">
        <v>2.4970170662081292E-2</v>
      </c>
      <c r="J96" s="10">
        <v>8.7611213734392512E-2</v>
      </c>
      <c r="K96" s="10">
        <v>-2.354624181101983E-2</v>
      </c>
      <c r="L96" s="10">
        <v>0.11049155704856695</v>
      </c>
      <c r="M96" s="10">
        <v>1.8205209828133784E-2</v>
      </c>
      <c r="N96" s="10">
        <v>-0.1167080491482243</v>
      </c>
      <c r="O96" s="10">
        <v>-1.1073613515421354E-2</v>
      </c>
      <c r="P96" s="10">
        <v>0.10717707787393649</v>
      </c>
      <c r="Q96" s="10">
        <v>2.8810515223565369E-2</v>
      </c>
      <c r="R96" s="10">
        <v>-5.4190829064092783E-2</v>
      </c>
      <c r="S96" s="10">
        <v>0.31304147070486388</v>
      </c>
      <c r="T96" s="10">
        <v>3.8705976917160489E-2</v>
      </c>
      <c r="U96" s="10">
        <v>5.0643183158628258E-2</v>
      </c>
      <c r="V96" s="10">
        <v>0.1095793088698398</v>
      </c>
      <c r="W96" s="10">
        <v>5.3932974652589616E-2</v>
      </c>
      <c r="X96" s="10">
        <v>4.2071162437197884E-2</v>
      </c>
      <c r="Y96" s="10">
        <v>6.0969154932307701E-2</v>
      </c>
      <c r="Z96" s="10">
        <v>4.3813421067600888E-2</v>
      </c>
      <c r="AA96" s="10">
        <v>3.1114077491872338E-2</v>
      </c>
      <c r="AB96" s="10">
        <v>0.17341466718513243</v>
      </c>
      <c r="AC96" s="2">
        <v>6.5026381728561233E-4</v>
      </c>
      <c r="AD96" s="2">
        <v>0.221764904606498</v>
      </c>
      <c r="AE96" s="2">
        <v>4.8714909800653405E-2</v>
      </c>
      <c r="AF96" s="2">
        <v>0.10479078610693549</v>
      </c>
      <c r="AG96" s="2">
        <v>0.12579014671840061</v>
      </c>
      <c r="AH96" s="2">
        <v>9.8353433355694131E-2</v>
      </c>
      <c r="AI96" s="2">
        <v>-1.6149144701316009E-2</v>
      </c>
      <c r="AJ96" s="2">
        <v>-2.0238877461564497E-2</v>
      </c>
      <c r="AK96" s="2">
        <v>-6.6060810055597829E-2</v>
      </c>
      <c r="AL96" s="2">
        <v>3.7301933125771791E-2</v>
      </c>
      <c r="AM96" s="2">
        <v>-1.7187094949745574E-2</v>
      </c>
      <c r="AN96" s="2">
        <v>6.0549855852799928E-2</v>
      </c>
    </row>
    <row r="97" spans="1:40" x14ac:dyDescent="0.25">
      <c r="A97" s="1">
        <f t="shared" si="2"/>
        <v>45352</v>
      </c>
      <c r="B97" s="2">
        <v>7.3611864825741335E-2</v>
      </c>
      <c r="C97" s="2">
        <v>0.10939173338143915</v>
      </c>
      <c r="D97" s="2">
        <v>-0.10158605804313303</v>
      </c>
      <c r="E97" s="2">
        <v>-0.10219148188956029</v>
      </c>
      <c r="F97" s="2">
        <v>-4.2918778171684546E-2</v>
      </c>
      <c r="G97" s="2">
        <v>6.8873474260249035E-2</v>
      </c>
      <c r="H97" s="2">
        <v>8.728399648550389E-2</v>
      </c>
      <c r="I97" s="2">
        <v>9.9313257178799574E-2</v>
      </c>
      <c r="J97" s="2">
        <v>7.2452684786135979E-2</v>
      </c>
      <c r="K97" s="2">
        <v>0.17444145052261417</v>
      </c>
      <c r="L97" s="2">
        <v>6.1156428902339632E-2</v>
      </c>
      <c r="M97" s="2">
        <v>-4.3184373403322596E-2</v>
      </c>
      <c r="N97" s="2">
        <v>6.487542166424487E-2</v>
      </c>
      <c r="O97" s="2">
        <v>0.12821606546686559</v>
      </c>
      <c r="P97" s="2">
        <v>3.2969423883993265E-2</v>
      </c>
      <c r="Q97" s="2">
        <v>0.16344969355506178</v>
      </c>
      <c r="R97" s="2">
        <v>0.12093937089048046</v>
      </c>
      <c r="S97" s="2">
        <v>0.20197662973692476</v>
      </c>
      <c r="T97" s="2">
        <v>0.23109836369159131</v>
      </c>
      <c r="U97" s="2">
        <v>-9.54042757942275E-3</v>
      </c>
      <c r="V97" s="2">
        <v>8.2459422908348179E-2</v>
      </c>
      <c r="W97" s="2">
        <v>1.1633821965542523E-2</v>
      </c>
      <c r="X97" s="2">
        <v>9.3002790157586501E-2</v>
      </c>
      <c r="Y97" s="2">
        <v>8.0987557134507115E-2</v>
      </c>
      <c r="Z97" s="2">
        <v>5.4306085992860131E-2</v>
      </c>
      <c r="AA97">
        <v>8.3802264196664034E-2</v>
      </c>
      <c r="AB97">
        <v>0.12689933737275605</v>
      </c>
      <c r="AC97" s="2">
        <v>-5.4610845353113557E-3</v>
      </c>
      <c r="AD97" s="2">
        <v>0.11715074538262304</v>
      </c>
      <c r="AE97" s="2">
        <v>5.0619168167552964E-2</v>
      </c>
      <c r="AF97" s="2">
        <v>0.14468975524078243</v>
      </c>
      <c r="AG97" s="2">
        <v>0.14991678283264753</v>
      </c>
      <c r="AH97" s="2">
        <v>0.15621399483975451</v>
      </c>
      <c r="AI97" s="2">
        <v>2.2046219553161661E-2</v>
      </c>
      <c r="AJ97" s="2">
        <v>4.7831870769388996E-2</v>
      </c>
      <c r="AK97" s="2">
        <v>-2.5713985445479093E-2</v>
      </c>
      <c r="AL97" s="2">
        <v>-0.10093652950124787</v>
      </c>
      <c r="AM97" s="2">
        <v>4.0644135432305273E-2</v>
      </c>
      <c r="AN97" s="2">
        <v>6.2079835341152245E-2</v>
      </c>
    </row>
    <row r="98" spans="1:40" x14ac:dyDescent="0.25">
      <c r="A98" s="1">
        <f t="shared" si="2"/>
        <v>45444</v>
      </c>
      <c r="B98" s="2">
        <v>2.8117051032265028E-2</v>
      </c>
      <c r="C98" s="2">
        <v>0.11481349545084307</v>
      </c>
      <c r="D98" s="2">
        <v>-2.1888236368965863E-2</v>
      </c>
      <c r="E98" s="2">
        <v>-2.2928969013210287E-2</v>
      </c>
      <c r="F98" s="2">
        <v>-2.4007253498008585E-2</v>
      </c>
      <c r="G98" s="2">
        <v>9.4328385484068411E-2</v>
      </c>
      <c r="H98" s="2">
        <v>6.5600541082746044E-2</v>
      </c>
      <c r="I98" s="2">
        <v>6.4185715108442176E-2</v>
      </c>
      <c r="J98" s="2">
        <v>6.7476198396544396E-2</v>
      </c>
      <c r="K98" s="2">
        <v>4.744282051840254E-2</v>
      </c>
      <c r="L98" s="2">
        <v>2.8656364475522444E-2</v>
      </c>
      <c r="M98" s="2">
        <v>-1.4268677819770925E-3</v>
      </c>
      <c r="N98" s="2">
        <v>0.11069091457044666</v>
      </c>
      <c r="O98" s="2">
        <v>0.16503527057053802</v>
      </c>
      <c r="P98" s="2">
        <v>-3.078879816171598E-2</v>
      </c>
      <c r="Q98" s="2">
        <v>9.8456890701144051E-2</v>
      </c>
      <c r="R98" s="2">
        <v>5.7386148232550394E-2</v>
      </c>
      <c r="S98" s="2">
        <v>-0.19174232903599309</v>
      </c>
      <c r="T98" s="2">
        <v>0.14024124635316415</v>
      </c>
      <c r="U98" s="2">
        <v>-1.5662127653896074E-2</v>
      </c>
      <c r="V98" s="2">
        <v>0.11118071135606122</v>
      </c>
      <c r="W98" s="2">
        <v>-2.3201034326725045E-2</v>
      </c>
      <c r="X98" s="2">
        <v>6.2359323351681262E-2</v>
      </c>
      <c r="Y98" s="2">
        <v>4.2058477823631257E-2</v>
      </c>
      <c r="Z98" s="2">
        <v>4.7175572153483003E-2</v>
      </c>
      <c r="AA98">
        <v>5.9158584911247702E-2</v>
      </c>
      <c r="AB98">
        <v>8.9834263416417981E-2</v>
      </c>
      <c r="AC98" s="2">
        <v>3.9865434210151207E-3</v>
      </c>
      <c r="AD98" s="2">
        <v>0.13151516481939463</v>
      </c>
      <c r="AE98" s="2">
        <v>6.3776907059854615E-2</v>
      </c>
      <c r="AF98" s="2">
        <v>3.0127524022662167E-2</v>
      </c>
      <c r="AG98" s="2">
        <v>3.8905497379653209E-2</v>
      </c>
      <c r="AH98" s="2">
        <v>1.7320120441495002E-2</v>
      </c>
      <c r="AI98" s="2">
        <v>1.5303762674002241E-2</v>
      </c>
      <c r="AJ98" s="2">
        <v>4.0332481062702374E-2</v>
      </c>
      <c r="AK98" s="2">
        <v>-6.7484829593645435E-2</v>
      </c>
      <c r="AL98" s="2">
        <v>7.0998493409148322E-2</v>
      </c>
      <c r="AM98" s="2">
        <v>4.1021898071545992E-2</v>
      </c>
      <c r="AN98" s="2">
        <v>5.1213581643452022E-2</v>
      </c>
    </row>
    <row r="99" spans="1:40" x14ac:dyDescent="0.25">
      <c r="A99" s="1">
        <f t="shared" si="2"/>
        <v>45536</v>
      </c>
      <c r="B99" s="2">
        <v>8.1827331905181433E-2</v>
      </c>
      <c r="C99" s="2">
        <v>0.10950256335306996</v>
      </c>
      <c r="D99" s="2">
        <v>-7.7848522838736667E-2</v>
      </c>
      <c r="E99" s="2">
        <v>-7.9887922125343569E-2</v>
      </c>
      <c r="F99" s="2">
        <v>-3.7650558736846529E-2</v>
      </c>
      <c r="G99" s="2">
        <v>5.3451147839052471E-2</v>
      </c>
      <c r="H99" s="2">
        <v>9.497300139544218E-2</v>
      </c>
      <c r="I99" s="2">
        <v>9.8684292784422478E-2</v>
      </c>
      <c r="J99" s="2">
        <v>9.0202678926758928E-2</v>
      </c>
      <c r="K99" s="2">
        <v>2.8260467022405589E-2</v>
      </c>
      <c r="L99" s="2">
        <v>0.17309082070959114</v>
      </c>
      <c r="M99" s="2">
        <v>0.14871024704528879</v>
      </c>
      <c r="N99" s="2">
        <v>1.0524277513791036E-2</v>
      </c>
      <c r="O99" s="2">
        <v>0.25546839170550983</v>
      </c>
      <c r="P99" s="2">
        <v>2.3071237461422367E-2</v>
      </c>
      <c r="Q99" s="2">
        <v>0.11035533336866288</v>
      </c>
      <c r="R99" s="2">
        <v>0.14491539183686419</v>
      </c>
      <c r="S99" s="2">
        <v>-5.1451519807493851E-2</v>
      </c>
      <c r="T99" s="2">
        <v>6.7398978061575798E-2</v>
      </c>
      <c r="U99" s="2">
        <v>-2.8985704054886541E-2</v>
      </c>
      <c r="V99" s="2">
        <v>1.5994428563290697E-2</v>
      </c>
      <c r="W99" s="2">
        <v>1.325578953077633E-2</v>
      </c>
      <c r="X99" s="2">
        <v>8.0358100989070813E-2</v>
      </c>
      <c r="Y99" s="2">
        <v>4.3936346937448301E-2</v>
      </c>
      <c r="Z99" s="2">
        <v>4.7831113624832611E-2</v>
      </c>
      <c r="AA99">
        <v>3.2880642368305235E-2</v>
      </c>
      <c r="AB99">
        <v>6.6901969398485139E-2</v>
      </c>
      <c r="AC99" s="2">
        <v>4.8163282159696452E-2</v>
      </c>
      <c r="AD99" s="2">
        <v>6.3303922382990763E-2</v>
      </c>
      <c r="AE99" s="2">
        <v>6.0029470483740521E-2</v>
      </c>
      <c r="AF99" s="2">
        <v>3.6082677949408115E-2</v>
      </c>
      <c r="AG99" s="2">
        <v>3.8988983294634849E-2</v>
      </c>
      <c r="AH99" s="2">
        <v>3.5195623755691408E-2</v>
      </c>
      <c r="AI99" s="2">
        <v>-1.5631692274234998E-3</v>
      </c>
      <c r="AJ99" s="2">
        <v>4.0085385004751117E-2</v>
      </c>
      <c r="AK99" s="2">
        <v>-4.2310057620040475E-2</v>
      </c>
      <c r="AL99" s="2">
        <v>-2.0169963948846514E-2</v>
      </c>
      <c r="AM99" s="2">
        <v>3.6726642798945663E-2</v>
      </c>
      <c r="AN99" s="2">
        <v>5.3731048014610705E-2</v>
      </c>
    </row>
    <row r="100" spans="1:40" x14ac:dyDescent="0.25">
      <c r="A100" s="1">
        <f t="shared" si="2"/>
        <v>45627</v>
      </c>
      <c r="B100" s="2">
        <v>7.3044112865606747E-2</v>
      </c>
      <c r="C100" s="2">
        <v>0.11255986973726184</v>
      </c>
      <c r="D100" s="2">
        <v>-6.3726135874954792E-2</v>
      </c>
      <c r="E100" s="2">
        <v>-6.5734931580138767E-2</v>
      </c>
      <c r="F100" s="2">
        <v>1.3197774647912164E-2</v>
      </c>
      <c r="G100" s="2">
        <v>4.6456466920778761E-2</v>
      </c>
      <c r="H100" s="2">
        <v>9.2588302665176814E-2</v>
      </c>
      <c r="I100" s="2">
        <v>0.1095191805696305</v>
      </c>
      <c r="J100" s="2">
        <v>6.9482393591614455E-2</v>
      </c>
      <c r="K100" s="2">
        <v>0.13720234827382005</v>
      </c>
      <c r="L100" s="2">
        <v>6.1027702157522512E-2</v>
      </c>
      <c r="M100" s="2">
        <v>4.0405389608492159E-2</v>
      </c>
      <c r="N100" s="2">
        <v>-7.9662213309237284E-3</v>
      </c>
      <c r="O100" s="2">
        <v>0.23372495276367822</v>
      </c>
      <c r="P100" s="2">
        <v>-6.271239492040892E-3</v>
      </c>
      <c r="Q100" s="2">
        <v>9.5275867154531291E-2</v>
      </c>
      <c r="R100" s="2">
        <v>0.10437188307642242</v>
      </c>
      <c r="S100" s="2">
        <v>-6.14653855651488E-2</v>
      </c>
      <c r="T100" s="2">
        <v>0.27685596911569865</v>
      </c>
      <c r="U100" s="2">
        <v>-5.2246687993844243E-2</v>
      </c>
      <c r="V100" s="2">
        <v>0.13699198577151273</v>
      </c>
      <c r="W100" s="2">
        <v>2.2711115388365677E-2</v>
      </c>
      <c r="X100" s="2">
        <v>5.9158966877801644E-2</v>
      </c>
      <c r="Y100" s="2">
        <v>3.9380773246014744E-2</v>
      </c>
      <c r="Z100" s="2">
        <v>4.1191310709661755E-2</v>
      </c>
      <c r="AA100">
        <v>5.3513092727846434E-2</v>
      </c>
      <c r="AB100">
        <v>0.13300138926755545</v>
      </c>
      <c r="AC100" s="2">
        <v>-3.0385092671816327E-3</v>
      </c>
      <c r="AD100" s="2">
        <v>6.5949855022686021E-2</v>
      </c>
      <c r="AE100" s="2">
        <v>5.6651343826222611E-2</v>
      </c>
      <c r="AF100" s="2">
        <v>3.3507151386297673E-2</v>
      </c>
      <c r="AG100" s="2">
        <v>4.0231924187843049E-2</v>
      </c>
      <c r="AH100" s="2">
        <v>2.6665984975960511E-2</v>
      </c>
      <c r="AI100" s="2">
        <v>1.2797799038159141E-2</v>
      </c>
      <c r="AJ100" s="2">
        <v>2.8490537779836567E-2</v>
      </c>
      <c r="AK100" s="2">
        <v>1.8655249968541732E-2</v>
      </c>
      <c r="AL100" s="2">
        <v>-0.16114151836039492</v>
      </c>
      <c r="AM100" s="2">
        <v>1.8516213415854299E-2</v>
      </c>
      <c r="AN100" s="2">
        <v>3.2292976869422452E-2</v>
      </c>
    </row>
    <row r="101" spans="1:40" x14ac:dyDescent="0.25">
      <c r="A101" s="1">
        <f t="shared" si="2"/>
        <v>45717</v>
      </c>
      <c r="B101">
        <v>7.7926487486015938E-2</v>
      </c>
      <c r="C101">
        <v>2.9709931413843371E-2</v>
      </c>
      <c r="D101">
        <v>8.5238165396401833E-3</v>
      </c>
      <c r="E101">
        <v>8.913512868928164E-3</v>
      </c>
      <c r="F101">
        <v>1.5740613249323188E-2</v>
      </c>
      <c r="G101">
        <v>3.4900009927096853E-4</v>
      </c>
      <c r="H101">
        <v>1.5557612279525346E-2</v>
      </c>
      <c r="I101">
        <v>4.1729123462069362E-2</v>
      </c>
      <c r="J101">
        <v>-1.7635802154847946E-2</v>
      </c>
      <c r="K101">
        <v>7.179497628943432E-2</v>
      </c>
      <c r="L101">
        <v>5.1583484815073355E-2</v>
      </c>
      <c r="M101">
        <v>-4.4389178135346707E-3</v>
      </c>
      <c r="N101">
        <v>-4.6031042703257308E-3</v>
      </c>
      <c r="O101">
        <v>-1.0982071449509911E-2</v>
      </c>
      <c r="P101">
        <v>4.2994981528589271E-2</v>
      </c>
      <c r="Q101">
        <v>9.6230975475389391E-2</v>
      </c>
      <c r="R101">
        <v>9.0016456436883274E-3</v>
      </c>
      <c r="S101">
        <v>0.10532940439182692</v>
      </c>
      <c r="T101">
        <v>7.9627697197853564E-2</v>
      </c>
      <c r="U101">
        <v>8.1458729126260954E-2</v>
      </c>
      <c r="V101">
        <v>6.8862214874978678E-2</v>
      </c>
      <c r="W101">
        <v>1.1405116341321575E-2</v>
      </c>
      <c r="X101">
        <v>5.9812270856465455E-2</v>
      </c>
      <c r="Y101">
        <v>3.4416018642820401E-2</v>
      </c>
      <c r="Z101">
        <v>8.0365628188270977E-2</v>
      </c>
      <c r="AA101">
        <v>0.13233354431828959</v>
      </c>
      <c r="AB101">
        <v>6.346505114236467E-2</v>
      </c>
      <c r="AC101" s="2">
        <v>1.1236792733013035E-2</v>
      </c>
      <c r="AD101" s="2">
        <v>3.1312169766758657E-2</v>
      </c>
      <c r="AE101" s="2">
        <v>9.4314039977989372E-2</v>
      </c>
      <c r="AF101" s="2">
        <v>-7.7296697268874226E-2</v>
      </c>
      <c r="AG101" s="2">
        <v>-8.7878012545333783E-2</v>
      </c>
      <c r="AH101" s="2">
        <v>-7.9193021283235132E-2</v>
      </c>
      <c r="AI101" s="2">
        <v>5.6399714043210425E-2</v>
      </c>
      <c r="AJ101" s="2">
        <v>3.8196382252541072E-2</v>
      </c>
      <c r="AK101" s="2">
        <v>-1.975268112533235E-2</v>
      </c>
      <c r="AL101" s="2">
        <v>-4.9574695289835935E-2</v>
      </c>
      <c r="AM101" s="2">
        <v>3.3562784868936824E-2</v>
      </c>
      <c r="AN101" s="2">
        <v>3.6501648572086154E-2</v>
      </c>
    </row>
    <row r="102" spans="1:40" x14ac:dyDescent="0.25">
      <c r="A102" s="1">
        <f t="shared" si="2"/>
        <v>45809</v>
      </c>
      <c r="B102">
        <v>1.2000269612832959E-3</v>
      </c>
      <c r="C102">
        <v>6.006705788351363E-2</v>
      </c>
      <c r="D102">
        <v>-7.848601638499153E-2</v>
      </c>
      <c r="E102">
        <v>-8.0155417016893993E-2</v>
      </c>
      <c r="F102">
        <v>2.5855190001921491E-2</v>
      </c>
      <c r="G102">
        <v>-4.3867405488150824E-2</v>
      </c>
      <c r="H102">
        <v>4.8778297206174992E-2</v>
      </c>
      <c r="I102">
        <v>4.7935986504225703E-2</v>
      </c>
      <c r="J102">
        <v>4.9933218641798227E-2</v>
      </c>
      <c r="K102">
        <v>4.6242884272556628E-2</v>
      </c>
      <c r="L102">
        <v>2.4757099212361133E-2</v>
      </c>
      <c r="M102">
        <v>3.1766922947994436E-2</v>
      </c>
      <c r="N102">
        <v>-0.10551918461348919</v>
      </c>
      <c r="O102">
        <v>0.10797687623107821</v>
      </c>
      <c r="P102">
        <v>-1.6766236215693731E-2</v>
      </c>
      <c r="Q102">
        <v>5.1392947346527995E-2</v>
      </c>
      <c r="R102">
        <v>5.123222074331979E-2</v>
      </c>
      <c r="S102">
        <v>0.12671992288724376</v>
      </c>
      <c r="T102">
        <v>4.6190830228577617E-2</v>
      </c>
      <c r="U102">
        <v>8.4271396621118377E-2</v>
      </c>
      <c r="V102">
        <v>4.4890049464831883E-3</v>
      </c>
      <c r="W102">
        <v>1.1311905581004478E-2</v>
      </c>
      <c r="X102">
        <v>4.8716418071802714E-2</v>
      </c>
      <c r="Y102">
        <v>3.3258570044639058E-2</v>
      </c>
      <c r="Z102">
        <v>3.1028568825494318E-2</v>
      </c>
      <c r="AA102">
        <v>2.2262005646400684E-2</v>
      </c>
      <c r="AB102">
        <v>8.8283377454970502E-2</v>
      </c>
      <c r="AC102" s="2">
        <v>9.7662796983037925E-3</v>
      </c>
      <c r="AD102" s="2">
        <v>5.9981652670947794E-2</v>
      </c>
      <c r="AE102" s="2">
        <v>5.2787145037433314E-2</v>
      </c>
      <c r="AF102" s="2">
        <v>3.771973182561017E-2</v>
      </c>
      <c r="AG102" s="2">
        <v>4.2523252472918216E-2</v>
      </c>
      <c r="AH102" s="2">
        <v>3.0601858586762454E-2</v>
      </c>
      <c r="AI102" s="2">
        <v>2.9410750759191195E-2</v>
      </c>
      <c r="AJ102" s="2">
        <v>8.6748807766270364E-3</v>
      </c>
      <c r="AK102" s="2">
        <v>6.4183261802990721E-2</v>
      </c>
      <c r="AL102" s="2">
        <v>9.5450954329055593E-2</v>
      </c>
      <c r="AM102" s="2">
        <v>1.1467753441537498E-2</v>
      </c>
      <c r="AN102" s="2">
        <v>2.3414866412539093E-2</v>
      </c>
    </row>
    <row r="103" spans="1:40" x14ac:dyDescent="0.25">
      <c r="B103">
        <v>-5.9714737899713155E-2</v>
      </c>
      <c r="C103">
        <v>3.173196979787507E-2</v>
      </c>
      <c r="D103">
        <v>-8.6065744712164549E-2</v>
      </c>
      <c r="E103">
        <v>-8.76888742242381E-2</v>
      </c>
      <c r="F103">
        <v>-2.4230639238848495E-2</v>
      </c>
      <c r="G103">
        <v>-3.6812675158149788E-2</v>
      </c>
      <c r="H103">
        <v>2.0280238473998402E-2</v>
      </c>
      <c r="I103">
        <v>2.8387385884032001E-2</v>
      </c>
      <c r="J103">
        <v>9.596092218667307E-3</v>
      </c>
      <c r="K103">
        <v>3.8403438857044447E-2</v>
      </c>
      <c r="L103">
        <v>2.0119968277522826E-2</v>
      </c>
      <c r="M103">
        <v>-3.8420731061893365E-3</v>
      </c>
      <c r="N103">
        <v>-9.994202556203835E-2</v>
      </c>
      <c r="O103">
        <v>9.1142992095393671E-2</v>
      </c>
      <c r="P103">
        <v>3.4149119626771141E-2</v>
      </c>
      <c r="Q103">
        <v>2.6336997711571053E-2</v>
      </c>
      <c r="R103">
        <v>2.1496924031657816E-2</v>
      </c>
      <c r="S103">
        <v>2.5164223655824713E-2</v>
      </c>
      <c r="T103">
        <v>2.1279701375814142E-2</v>
      </c>
      <c r="U103">
        <v>2.4634684579307509E-2</v>
      </c>
      <c r="V103">
        <v>-9.3674942570067143E-2</v>
      </c>
      <c r="W103">
        <v>-5.560000630594697E-3</v>
      </c>
      <c r="X103">
        <v>7.0203308545003118E-2</v>
      </c>
      <c r="Y103">
        <v>2.3040329603135845E-2</v>
      </c>
      <c r="Z103">
        <v>2.8988703275928618E-2</v>
      </c>
      <c r="AA103">
        <v>3.1774887392125084E-2</v>
      </c>
      <c r="AB103">
        <v>3.2434397912644464E-2</v>
      </c>
      <c r="AC103" s="2">
        <v>1.0175093320972772E-2</v>
      </c>
      <c r="AD103" s="2">
        <v>3.2988447237242147E-2</v>
      </c>
      <c r="AE103" s="2">
        <v>4.4998365980479349E-2</v>
      </c>
      <c r="AF103" s="2">
        <v>1.1897704158787548E-2</v>
      </c>
      <c r="AG103" s="2">
        <v>1.0866147552271554E-2</v>
      </c>
      <c r="AH103" s="2">
        <v>1.1661321108762168E-2</v>
      </c>
      <c r="AI103" s="2">
        <v>3.0774898730083322E-2</v>
      </c>
      <c r="AJ103" s="2">
        <v>-2.4759510070541113E-3</v>
      </c>
      <c r="AK103" s="2">
        <v>8.5442183683322792E-2</v>
      </c>
      <c r="AL103" s="2">
        <v>5.8309116057700505E-2</v>
      </c>
      <c r="AM103" s="2">
        <v>2.2681103007151648E-3</v>
      </c>
      <c r="AN103" s="2">
        <v>1.3522047098515344E-2</v>
      </c>
    </row>
    <row r="104" spans="1:40" x14ac:dyDescent="0.25">
      <c r="B104">
        <v>1.3999943376887813E-3</v>
      </c>
      <c r="C104">
        <v>-6.2563827600376154E-2</v>
      </c>
      <c r="D104">
        <v>-0.15270745628617688</v>
      </c>
      <c r="E104">
        <v>-0.15833212816181297</v>
      </c>
      <c r="F104">
        <v>2.9542966964528405E-2</v>
      </c>
      <c r="G104">
        <v>-8.4762305081534817E-2</v>
      </c>
      <c r="H104">
        <v>1.2974215227099739E-2</v>
      </c>
      <c r="I104">
        <v>1.426301023568799E-2</v>
      </c>
      <c r="J104">
        <v>1.1094699808413822E-2</v>
      </c>
      <c r="K104">
        <v>2.9685799548532898E-2</v>
      </c>
      <c r="L104">
        <v>1.3320591340200361E-2</v>
      </c>
      <c r="M104">
        <v>-7.1876188324365708E-3</v>
      </c>
      <c r="N104">
        <v>-0.20864081869535689</v>
      </c>
      <c r="O104">
        <v>9.5366645315422272E-3</v>
      </c>
      <c r="P104">
        <v>5.6488587742080654E-3</v>
      </c>
      <c r="Q104">
        <v>1.956089454401666E-2</v>
      </c>
      <c r="R104">
        <v>1.5199110558139273E-2</v>
      </c>
      <c r="S104">
        <v>2.2530958698121273E-2</v>
      </c>
      <c r="T104">
        <v>1.4173645535042745E-2</v>
      </c>
      <c r="U104">
        <v>2.9687355573424057E-2</v>
      </c>
      <c r="V104">
        <v>1.4045486036413202E-2</v>
      </c>
      <c r="W104">
        <v>-9.4287416667726553E-4</v>
      </c>
      <c r="X104">
        <v>4.2538894782513603E-2</v>
      </c>
      <c r="Y104">
        <v>1.1531083510961659E-2</v>
      </c>
      <c r="Z104">
        <v>1.2956370434431763E-2</v>
      </c>
      <c r="AA104">
        <v>2.4125972237221793E-2</v>
      </c>
      <c r="AB104">
        <v>1.8717468172853025E-3</v>
      </c>
      <c r="AC104" s="2">
        <v>1.0418824086458889E-2</v>
      </c>
      <c r="AD104" s="2">
        <v>-5.8135421566898549E-2</v>
      </c>
      <c r="AE104" s="2">
        <v>2.4764720368890991E-2</v>
      </c>
      <c r="AF104" s="2">
        <v>6.9173460541294141E-3</v>
      </c>
      <c r="AG104" s="2">
        <v>6.6034874121729814E-3</v>
      </c>
      <c r="AH104" s="2">
        <v>6.6852866761839547E-3</v>
      </c>
      <c r="AI104" s="2">
        <v>1.0688541405882823E-2</v>
      </c>
      <c r="AJ104" s="2">
        <v>-1.6160381641438404E-2</v>
      </c>
      <c r="AK104" s="2">
        <v>-2.1521245607362127E-3</v>
      </c>
      <c r="AL104" s="2">
        <v>-5.1999751752913936E-2</v>
      </c>
      <c r="AM104" s="2">
        <v>-1.6864688514893977E-2</v>
      </c>
      <c r="AN104" s="2">
        <v>2.2089729541259207E-3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104"/>
  <sheetViews>
    <sheetView workbookViewId="0">
      <pane xSplit="1" ySplit="4" topLeftCell="X5" activePane="bottomRight" state="frozen"/>
      <selection pane="topRight" activeCell="B1" sqref="B1"/>
      <selection pane="bottomLeft" activeCell="A5" sqref="A5"/>
      <selection pane="bottomRight" activeCell="A101" sqref="A101:A102"/>
    </sheetView>
  </sheetViews>
  <sheetFormatPr baseColWidth="10" defaultRowHeight="15" x14ac:dyDescent="0.25"/>
  <cols>
    <col min="2" max="2" width="34.28515625" bestFit="1" customWidth="1"/>
    <col min="3" max="3" width="19.42578125" bestFit="1" customWidth="1"/>
    <col min="4" max="4" width="28.42578125" bestFit="1" customWidth="1"/>
    <col min="5" max="5" width="21.85546875" bestFit="1" customWidth="1"/>
    <col min="6" max="6" width="26.5703125" bestFit="1" customWidth="1"/>
    <col min="7" max="7" width="44.42578125" bestFit="1" customWidth="1"/>
    <col min="8" max="9" width="44.42578125" customWidth="1"/>
    <col min="10" max="10" width="13.140625" bestFit="1" customWidth="1"/>
    <col min="11" max="11" width="51.7109375" bestFit="1" customWidth="1"/>
    <col min="12" max="12" width="22.85546875" bestFit="1" customWidth="1"/>
    <col min="13" max="13" width="30.28515625" bestFit="1" customWidth="1"/>
    <col min="14" max="14" width="20.28515625" bestFit="1" customWidth="1"/>
    <col min="15" max="15" width="47.28515625" bestFit="1" customWidth="1"/>
    <col min="16" max="16" width="23.7109375" bestFit="1" customWidth="1"/>
    <col min="17" max="17" width="10.28515625" bestFit="1" customWidth="1"/>
    <col min="18" max="18" width="22" bestFit="1" customWidth="1"/>
    <col min="19" max="19" width="39.42578125" bestFit="1" customWidth="1"/>
    <col min="20" max="20" width="21.7109375" bestFit="1" customWidth="1"/>
    <col min="21" max="21" width="25" bestFit="1" customWidth="1"/>
    <col min="22" max="22" width="27.7109375" bestFit="1" customWidth="1"/>
    <col min="23" max="23" width="47" bestFit="1" customWidth="1"/>
    <col min="24" max="24" width="22.5703125" bestFit="1" customWidth="1"/>
    <col min="25" max="25" width="22.5703125" customWidth="1"/>
    <col min="26" max="26" width="26.5703125" bestFit="1" customWidth="1"/>
  </cols>
  <sheetData>
    <row r="2" spans="1:40" x14ac:dyDescent="0.25">
      <c r="D2" s="3" t="s">
        <v>6</v>
      </c>
    </row>
    <row r="4" spans="1:40" s="14" customFormat="1" ht="78" customHeight="1" x14ac:dyDescent="0.25">
      <c r="A4" s="12" t="s">
        <v>0</v>
      </c>
      <c r="B4" s="11" t="s">
        <v>24</v>
      </c>
      <c r="C4" s="11" t="s">
        <v>8</v>
      </c>
      <c r="D4" s="16" t="s">
        <v>42</v>
      </c>
      <c r="E4" s="17" t="s">
        <v>25</v>
      </c>
      <c r="F4" s="17" t="s">
        <v>26</v>
      </c>
      <c r="G4" s="22" t="s">
        <v>43</v>
      </c>
      <c r="H4" s="43" t="s">
        <v>45</v>
      </c>
      <c r="I4" s="43" t="s">
        <v>46</v>
      </c>
      <c r="J4" s="13" t="s">
        <v>27</v>
      </c>
      <c r="K4" s="13" t="s">
        <v>28</v>
      </c>
      <c r="L4" s="13" t="s">
        <v>29</v>
      </c>
      <c r="M4" s="13" t="s">
        <v>30</v>
      </c>
      <c r="N4" s="13" t="s">
        <v>31</v>
      </c>
      <c r="O4" s="13" t="s">
        <v>32</v>
      </c>
      <c r="P4" s="13" t="s">
        <v>33</v>
      </c>
      <c r="Q4" s="13" t="s">
        <v>34</v>
      </c>
      <c r="R4" s="13" t="s">
        <v>35</v>
      </c>
      <c r="S4" s="13" t="s">
        <v>36</v>
      </c>
      <c r="T4" s="13" t="s">
        <v>37</v>
      </c>
      <c r="U4" s="13" t="s">
        <v>38</v>
      </c>
      <c r="V4" s="13" t="s">
        <v>39</v>
      </c>
      <c r="W4" s="11" t="s">
        <v>20</v>
      </c>
      <c r="X4" s="11" t="s">
        <v>9</v>
      </c>
      <c r="Y4" s="44" t="s">
        <v>47</v>
      </c>
      <c r="Z4" s="18" t="s">
        <v>10</v>
      </c>
      <c r="AA4" s="19" t="s">
        <v>21</v>
      </c>
      <c r="AB4" s="15" t="s">
        <v>11</v>
      </c>
      <c r="AC4" s="15" t="s">
        <v>22</v>
      </c>
      <c r="AD4" s="15" t="s">
        <v>12</v>
      </c>
      <c r="AE4" s="15" t="s">
        <v>23</v>
      </c>
      <c r="AF4" s="20" t="s">
        <v>13</v>
      </c>
      <c r="AG4" s="7" t="s">
        <v>14</v>
      </c>
      <c r="AH4" s="7" t="s">
        <v>40</v>
      </c>
      <c r="AI4" s="7" t="s">
        <v>41</v>
      </c>
      <c r="AJ4" s="21" t="s">
        <v>19</v>
      </c>
      <c r="AK4" s="11" t="s">
        <v>15</v>
      </c>
      <c r="AL4" s="11" t="s">
        <v>16</v>
      </c>
      <c r="AM4" s="21" t="s">
        <v>17</v>
      </c>
      <c r="AN4" s="21" t="s">
        <v>18</v>
      </c>
    </row>
    <row r="5" spans="1:40" x14ac:dyDescent="0.25">
      <c r="A5" s="1">
        <v>36951</v>
      </c>
      <c r="B5" s="6">
        <v>102888.7</v>
      </c>
      <c r="C5" s="6">
        <v>-19085.7</v>
      </c>
      <c r="D5" s="6">
        <v>306120</v>
      </c>
      <c r="E5" s="6">
        <v>304198.59999999998</v>
      </c>
      <c r="F5" s="6">
        <v>1921.4</v>
      </c>
      <c r="G5" s="6">
        <v>118697.8</v>
      </c>
      <c r="H5" s="6">
        <v>70275.899999999994</v>
      </c>
      <c r="I5" s="6">
        <v>44656.999999999993</v>
      </c>
      <c r="J5">
        <v>25618.9</v>
      </c>
      <c r="K5">
        <v>12041.2</v>
      </c>
      <c r="L5">
        <v>1198.9000000000001</v>
      </c>
      <c r="M5">
        <v>4019.8</v>
      </c>
      <c r="N5">
        <v>48421.9</v>
      </c>
      <c r="O5">
        <v>5789.8</v>
      </c>
      <c r="P5">
        <v>8001.5</v>
      </c>
      <c r="Q5">
        <v>3903.2</v>
      </c>
      <c r="R5">
        <v>2149.9</v>
      </c>
      <c r="S5">
        <v>95.2</v>
      </c>
      <c r="T5">
        <v>1387.4</v>
      </c>
      <c r="U5">
        <v>1496.3</v>
      </c>
      <c r="V5">
        <v>4573.8999999999996</v>
      </c>
      <c r="W5">
        <v>14224.3</v>
      </c>
      <c r="X5">
        <v>77230.2</v>
      </c>
      <c r="Y5">
        <v>489662.1</v>
      </c>
      <c r="Z5">
        <v>359795.20000000001</v>
      </c>
      <c r="AA5">
        <v>121613.6</v>
      </c>
      <c r="AB5">
        <v>10168.5</v>
      </c>
      <c r="AC5">
        <v>119764.3</v>
      </c>
      <c r="AD5">
        <v>24529.599999999999</v>
      </c>
      <c r="AE5">
        <v>83719.199999999997</v>
      </c>
      <c r="AF5">
        <v>129866.9</v>
      </c>
      <c r="AG5">
        <v>70723.399999999994</v>
      </c>
      <c r="AH5">
        <v>48241.2</v>
      </c>
      <c r="AI5">
        <v>10902.3</v>
      </c>
      <c r="AJ5">
        <v>1089737.2</v>
      </c>
      <c r="AK5">
        <v>24960.400000000001</v>
      </c>
      <c r="AL5">
        <v>66188.2</v>
      </c>
      <c r="AM5">
        <v>1180885.8</v>
      </c>
      <c r="AN5">
        <v>874765.8</v>
      </c>
    </row>
    <row r="6" spans="1:40" x14ac:dyDescent="0.25">
      <c r="A6" s="1">
        <f>EDATE(A5,3)</f>
        <v>37043</v>
      </c>
      <c r="B6" s="6">
        <v>104085.9</v>
      </c>
      <c r="C6" s="6">
        <v>-19889.099999999999</v>
      </c>
      <c r="D6" s="6">
        <v>286537.40000000002</v>
      </c>
      <c r="E6" s="6">
        <v>284470.8</v>
      </c>
      <c r="F6" s="6">
        <v>2066.6</v>
      </c>
      <c r="G6" s="6">
        <v>125158</v>
      </c>
      <c r="H6" s="6">
        <v>71039.100000000006</v>
      </c>
      <c r="I6" s="6">
        <v>45568.200000000004</v>
      </c>
      <c r="J6">
        <v>25470.9</v>
      </c>
      <c r="K6">
        <v>11497.8</v>
      </c>
      <c r="L6">
        <v>1152.3</v>
      </c>
      <c r="M6">
        <v>4084.6</v>
      </c>
      <c r="N6">
        <v>54118.9</v>
      </c>
      <c r="O6">
        <v>5308.4</v>
      </c>
      <c r="P6">
        <v>8217</v>
      </c>
      <c r="Q6">
        <v>4030.2</v>
      </c>
      <c r="R6">
        <v>2642.8</v>
      </c>
      <c r="S6">
        <v>109.8</v>
      </c>
      <c r="T6">
        <v>1653.4</v>
      </c>
      <c r="U6">
        <v>1660.4</v>
      </c>
      <c r="V6">
        <v>5211.5</v>
      </c>
      <c r="W6">
        <v>15156.7</v>
      </c>
      <c r="X6">
        <v>68067.899999999994</v>
      </c>
      <c r="Y6">
        <v>536018.19999999995</v>
      </c>
      <c r="Z6">
        <v>367473.9</v>
      </c>
      <c r="AA6">
        <v>124158.6</v>
      </c>
      <c r="AB6">
        <v>10986.9</v>
      </c>
      <c r="AC6">
        <v>121684.7</v>
      </c>
      <c r="AD6">
        <v>25728.5</v>
      </c>
      <c r="AE6">
        <v>84915.199999999997</v>
      </c>
      <c r="AF6">
        <v>168544.3</v>
      </c>
      <c r="AG6">
        <v>95903.4</v>
      </c>
      <c r="AH6">
        <v>61581.7</v>
      </c>
      <c r="AI6">
        <v>11059.2</v>
      </c>
      <c r="AJ6">
        <v>1115134.8</v>
      </c>
      <c r="AK6">
        <v>25990.7</v>
      </c>
      <c r="AL6">
        <v>64038</v>
      </c>
      <c r="AM6">
        <v>1205163.3999999999</v>
      </c>
      <c r="AN6">
        <v>918625.99999999988</v>
      </c>
    </row>
    <row r="7" spans="1:40" x14ac:dyDescent="0.25">
      <c r="A7" s="1">
        <f t="shared" ref="A7:A70" si="0">EDATE(A6,3)</f>
        <v>37135</v>
      </c>
      <c r="B7" s="6">
        <v>93489.1</v>
      </c>
      <c r="C7" s="6">
        <v>-19658.5</v>
      </c>
      <c r="D7" s="6">
        <v>238567.7</v>
      </c>
      <c r="E7" s="6">
        <v>236410.3</v>
      </c>
      <c r="F7" s="6">
        <v>2157.4</v>
      </c>
      <c r="G7" s="6">
        <v>116822.9</v>
      </c>
      <c r="H7" s="6">
        <v>67836.299999999988</v>
      </c>
      <c r="I7" s="6">
        <v>44593.299999999988</v>
      </c>
      <c r="J7">
        <v>23243</v>
      </c>
      <c r="K7">
        <v>11244.7</v>
      </c>
      <c r="L7">
        <v>993.2</v>
      </c>
      <c r="M7">
        <v>4129.8999999999996</v>
      </c>
      <c r="N7">
        <v>48986.6</v>
      </c>
      <c r="O7">
        <v>5107.3999999999996</v>
      </c>
      <c r="P7">
        <v>8380.1</v>
      </c>
      <c r="Q7">
        <v>3884.2</v>
      </c>
      <c r="R7">
        <v>2688.9</v>
      </c>
      <c r="S7">
        <v>119.5</v>
      </c>
      <c r="T7">
        <v>1396.5</v>
      </c>
      <c r="U7">
        <v>1581.2</v>
      </c>
      <c r="V7">
        <v>5067.8999999999996</v>
      </c>
      <c r="W7">
        <v>14686.7</v>
      </c>
      <c r="X7">
        <v>72634.7</v>
      </c>
      <c r="Y7">
        <v>489174.2</v>
      </c>
      <c r="Z7">
        <v>363080.9</v>
      </c>
      <c r="AA7">
        <v>123893.7</v>
      </c>
      <c r="AB7">
        <v>12513.9</v>
      </c>
      <c r="AC7">
        <v>114835.9</v>
      </c>
      <c r="AD7">
        <v>25679.5</v>
      </c>
      <c r="AE7">
        <v>86157.9</v>
      </c>
      <c r="AF7">
        <v>126093.3</v>
      </c>
      <c r="AG7">
        <v>67362.8</v>
      </c>
      <c r="AH7">
        <v>47628</v>
      </c>
      <c r="AI7">
        <v>11102.5</v>
      </c>
      <c r="AJ7">
        <v>1005716.7</v>
      </c>
      <c r="AK7">
        <v>26912</v>
      </c>
      <c r="AL7">
        <v>66319.8</v>
      </c>
      <c r="AM7">
        <v>1098948.5</v>
      </c>
      <c r="AN7">
        <v>860380.8</v>
      </c>
    </row>
    <row r="8" spans="1:40" x14ac:dyDescent="0.25">
      <c r="A8" s="1">
        <f t="shared" si="0"/>
        <v>37226</v>
      </c>
      <c r="B8" s="6">
        <v>107199.4</v>
      </c>
      <c r="C8" s="6">
        <v>-18059.7</v>
      </c>
      <c r="D8" s="6">
        <v>220580.9</v>
      </c>
      <c r="E8" s="6">
        <v>218561.3</v>
      </c>
      <c r="F8" s="6">
        <v>2019.6</v>
      </c>
      <c r="G8" s="6">
        <v>113916.3</v>
      </c>
      <c r="H8" s="6">
        <v>72130.700000000012</v>
      </c>
      <c r="I8" s="6">
        <v>46222.400000000009</v>
      </c>
      <c r="J8">
        <v>25908.3</v>
      </c>
      <c r="K8">
        <v>11190.3</v>
      </c>
      <c r="L8">
        <v>1041.5999999999999</v>
      </c>
      <c r="M8">
        <v>4159.7</v>
      </c>
      <c r="N8">
        <v>41785.599999999999</v>
      </c>
      <c r="O8">
        <v>5168.3999999999996</v>
      </c>
      <c r="P8">
        <v>8595.4</v>
      </c>
      <c r="Q8">
        <v>3803.4</v>
      </c>
      <c r="R8">
        <v>3160.4</v>
      </c>
      <c r="S8">
        <v>130.6</v>
      </c>
      <c r="T8">
        <v>1716.7</v>
      </c>
      <c r="U8">
        <v>1725.1</v>
      </c>
      <c r="V8">
        <v>5530.7</v>
      </c>
      <c r="W8">
        <v>15271.3</v>
      </c>
      <c r="X8">
        <v>68740.2</v>
      </c>
      <c r="Y8">
        <v>503372</v>
      </c>
      <c r="Z8">
        <v>365109.4</v>
      </c>
      <c r="AA8">
        <v>124000.2</v>
      </c>
      <c r="AB8">
        <v>12331.8</v>
      </c>
      <c r="AC8">
        <v>116321.2</v>
      </c>
      <c r="AD8">
        <v>23980.5</v>
      </c>
      <c r="AE8">
        <v>88475.7</v>
      </c>
      <c r="AF8">
        <v>138262.6</v>
      </c>
      <c r="AG8">
        <v>75143.399999999994</v>
      </c>
      <c r="AH8">
        <v>51931.1</v>
      </c>
      <c r="AI8">
        <v>11188.1</v>
      </c>
      <c r="AJ8">
        <v>1011020.3</v>
      </c>
      <c r="AK8">
        <v>27605.9</v>
      </c>
      <c r="AL8">
        <v>63983.1</v>
      </c>
      <c r="AM8">
        <v>1102609.3</v>
      </c>
      <c r="AN8">
        <v>882028.4</v>
      </c>
    </row>
    <row r="9" spans="1:40" x14ac:dyDescent="0.25">
      <c r="A9" s="1">
        <f t="shared" si="0"/>
        <v>37316</v>
      </c>
      <c r="B9" s="6">
        <v>106078.24969999999</v>
      </c>
      <c r="C9" s="6">
        <v>-21910.383600000005</v>
      </c>
      <c r="D9" s="6">
        <v>285609.96000000002</v>
      </c>
      <c r="E9" s="6">
        <v>283513.09519999998</v>
      </c>
      <c r="F9" s="6">
        <v>1990.5704000000003</v>
      </c>
      <c r="G9" s="6">
        <v>123327.01419999999</v>
      </c>
      <c r="H9" s="6">
        <v>75222.291861467806</v>
      </c>
      <c r="I9" s="6">
        <v>51550.419863629759</v>
      </c>
      <c r="J9">
        <v>23671.863600000004</v>
      </c>
      <c r="K9">
        <v>16496.444000000003</v>
      </c>
      <c r="L9">
        <v>1388.3262</v>
      </c>
      <c r="M9">
        <v>4096.1762000000008</v>
      </c>
      <c r="N9">
        <v>48760.853299999995</v>
      </c>
      <c r="O9">
        <v>5946.1245999999992</v>
      </c>
      <c r="P9">
        <v>8737.6380000000008</v>
      </c>
      <c r="Q9">
        <v>4016.3927999999996</v>
      </c>
      <c r="R9">
        <v>2302.5428999999995</v>
      </c>
      <c r="S9">
        <v>108.05199999999999</v>
      </c>
      <c r="T9">
        <v>1549.7258000000002</v>
      </c>
      <c r="U9">
        <v>1960.1530000000005</v>
      </c>
      <c r="V9">
        <v>4948.9597999999996</v>
      </c>
      <c r="W9">
        <v>15547.159900000001</v>
      </c>
      <c r="X9">
        <v>75762.826199999996</v>
      </c>
      <c r="Y9">
        <v>517799.98448747699</v>
      </c>
      <c r="Z9">
        <v>379953.33240565727</v>
      </c>
      <c r="AA9">
        <v>128667.1888</v>
      </c>
      <c r="AB9">
        <v>10992.148499999999</v>
      </c>
      <c r="AC9">
        <v>127668.74380000001</v>
      </c>
      <c r="AD9">
        <v>28233.569599999999</v>
      </c>
      <c r="AE9">
        <v>86147.056799999991</v>
      </c>
      <c r="AF9">
        <v>137819.22219999999</v>
      </c>
      <c r="AG9">
        <v>76734.888999999981</v>
      </c>
      <c r="AH9">
        <v>49833.159599999984</v>
      </c>
      <c r="AI9">
        <v>11251.173599999998</v>
      </c>
      <c r="AJ9">
        <v>1104993.5207999998</v>
      </c>
      <c r="AK9">
        <v>32423.559600000004</v>
      </c>
      <c r="AL9">
        <v>72608.455399999992</v>
      </c>
      <c r="AM9">
        <v>1210407.9450000001</v>
      </c>
      <c r="AN9">
        <v>924904.27939999988</v>
      </c>
    </row>
    <row r="10" spans="1:40" x14ac:dyDescent="0.25">
      <c r="A10" s="1">
        <f t="shared" si="0"/>
        <v>37408</v>
      </c>
      <c r="B10" s="6">
        <v>105230.84489999998</v>
      </c>
      <c r="C10" s="6">
        <v>-22872.464999999997</v>
      </c>
      <c r="D10" s="6">
        <v>290835.46100000001</v>
      </c>
      <c r="E10" s="6">
        <v>288737.86199999996</v>
      </c>
      <c r="F10" s="6">
        <v>2064.5333999999998</v>
      </c>
      <c r="G10" s="6">
        <v>131791.37400000001</v>
      </c>
      <c r="H10" s="6">
        <v>69886.274400000024</v>
      </c>
      <c r="I10" s="6">
        <v>45510.623100000033</v>
      </c>
      <c r="J10">
        <v>24375.651300000001</v>
      </c>
      <c r="K10">
        <v>10830.927599999999</v>
      </c>
      <c r="L10">
        <v>1281.3576</v>
      </c>
      <c r="M10">
        <v>3994.7387999999996</v>
      </c>
      <c r="N10">
        <v>62561.448400000008</v>
      </c>
      <c r="O10">
        <v>5563.2031999999999</v>
      </c>
      <c r="P10">
        <v>7888.3200000000006</v>
      </c>
      <c r="Q10">
        <v>4159.1664000000001</v>
      </c>
      <c r="R10">
        <v>2669.2280000000001</v>
      </c>
      <c r="S10">
        <v>127.80719999999999</v>
      </c>
      <c r="T10">
        <v>1544.2756000000002</v>
      </c>
      <c r="U10">
        <v>2047.2732000000001</v>
      </c>
      <c r="V10">
        <v>5404.3254999999999</v>
      </c>
      <c r="W10">
        <v>15702.341200000001</v>
      </c>
      <c r="X10">
        <v>73921.739400000006</v>
      </c>
      <c r="Y10">
        <v>570598.52312388178</v>
      </c>
      <c r="Z10">
        <v>389729.65828736546</v>
      </c>
      <c r="AA10">
        <v>131856.43320000003</v>
      </c>
      <c r="AB10">
        <v>12525.066000000003</v>
      </c>
      <c r="AC10">
        <v>130202.62900000003</v>
      </c>
      <c r="AD10">
        <v>29716.417500000007</v>
      </c>
      <c r="AE10">
        <v>87207.910400000008</v>
      </c>
      <c r="AF10">
        <v>180790.31980000006</v>
      </c>
      <c r="AG10">
        <v>105589.64339999997</v>
      </c>
      <c r="AH10">
        <v>63798.641199999998</v>
      </c>
      <c r="AI10">
        <v>11402.0352</v>
      </c>
      <c r="AJ10">
        <v>1166431.0008</v>
      </c>
      <c r="AK10">
        <v>37452.598700000002</v>
      </c>
      <c r="AL10">
        <v>72170.826000000001</v>
      </c>
      <c r="AM10">
        <v>1276268.0405999999</v>
      </c>
      <c r="AN10">
        <v>985465.64519999933</v>
      </c>
    </row>
    <row r="11" spans="1:40" x14ac:dyDescent="0.25">
      <c r="A11" s="1">
        <f t="shared" si="0"/>
        <v>37500</v>
      </c>
      <c r="B11" s="6">
        <v>91619.318000000014</v>
      </c>
      <c r="C11" s="6">
        <v>-22489.324000000008</v>
      </c>
      <c r="D11" s="6">
        <v>242861.91860000003</v>
      </c>
      <c r="E11" s="6">
        <v>240665.68539999999</v>
      </c>
      <c r="F11" s="6">
        <v>2127.1964000000003</v>
      </c>
      <c r="G11" s="6">
        <v>125467.79460000001</v>
      </c>
      <c r="H11" s="6">
        <v>69364.931093176696</v>
      </c>
      <c r="I11" s="6">
        <v>46168.414535644908</v>
      </c>
      <c r="J11">
        <v>23196.513999999999</v>
      </c>
      <c r="K11">
        <v>10716.199100000002</v>
      </c>
      <c r="L11">
        <v>927.64880000000005</v>
      </c>
      <c r="M11">
        <v>3989.4833999999996</v>
      </c>
      <c r="N11">
        <v>56236.616800000003</v>
      </c>
      <c r="O11">
        <v>5383.1995999999999</v>
      </c>
      <c r="P11">
        <v>9570.0742000000009</v>
      </c>
      <c r="Q11">
        <v>4024.0312000000004</v>
      </c>
      <c r="R11">
        <v>2739.9891000000002</v>
      </c>
      <c r="S11">
        <v>137.5445</v>
      </c>
      <c r="T11">
        <v>1457.9460000000004</v>
      </c>
      <c r="U11">
        <v>1916.4144000000001</v>
      </c>
      <c r="V11">
        <v>5306.0912999999991</v>
      </c>
      <c r="W11">
        <v>15523.841900000003</v>
      </c>
      <c r="X11">
        <v>78590.7454</v>
      </c>
      <c r="Y11">
        <v>522074.47765297658</v>
      </c>
      <c r="Z11">
        <v>387281.06065048033</v>
      </c>
      <c r="AA11">
        <v>132442.36529999998</v>
      </c>
      <c r="AB11">
        <v>14728.8603</v>
      </c>
      <c r="AC11">
        <v>123563.42840000002</v>
      </c>
      <c r="AD11">
        <v>29582.784</v>
      </c>
      <c r="AE11">
        <v>88484.1633</v>
      </c>
      <c r="AF11">
        <v>134781.5331</v>
      </c>
      <c r="AG11">
        <v>73896.991600000008</v>
      </c>
      <c r="AH11">
        <v>49437.863999999994</v>
      </c>
      <c r="AI11">
        <v>11446.677499999998</v>
      </c>
      <c r="AJ11">
        <v>1054996.8182999999</v>
      </c>
      <c r="AK11">
        <v>28742.016</v>
      </c>
      <c r="AL11">
        <v>74742.414600000004</v>
      </c>
      <c r="AM11">
        <v>1158291.719</v>
      </c>
      <c r="AN11">
        <v>915498.83720000018</v>
      </c>
    </row>
    <row r="12" spans="1:40" x14ac:dyDescent="0.25">
      <c r="A12" s="1">
        <f t="shared" si="0"/>
        <v>37591</v>
      </c>
      <c r="B12" s="6">
        <v>108592.99219999998</v>
      </c>
      <c r="C12" s="6">
        <v>-20407.460999999999</v>
      </c>
      <c r="D12" s="6">
        <v>258961.97659999999</v>
      </c>
      <c r="E12" s="6">
        <v>256809.52750000003</v>
      </c>
      <c r="F12" s="6">
        <v>2086.2467999999999</v>
      </c>
      <c r="G12" s="6">
        <v>115511.12819999998</v>
      </c>
      <c r="H12" s="6">
        <v>72849.747196867131</v>
      </c>
      <c r="I12" s="6">
        <v>47796.423505326275</v>
      </c>
      <c r="J12">
        <v>25053.326099999998</v>
      </c>
      <c r="K12">
        <v>11548.389599999999</v>
      </c>
      <c r="L12">
        <v>1079.0975999999998</v>
      </c>
      <c r="M12">
        <v>4059.8671999999992</v>
      </c>
      <c r="N12">
        <v>42454.169600000001</v>
      </c>
      <c r="O12">
        <v>5406.1463999999996</v>
      </c>
      <c r="P12">
        <v>8990.7883999999995</v>
      </c>
      <c r="Q12">
        <v>3921.3054000000002</v>
      </c>
      <c r="R12">
        <v>3154.0792000000001</v>
      </c>
      <c r="S12">
        <v>144.4436</v>
      </c>
      <c r="T12">
        <v>1864.3362</v>
      </c>
      <c r="U12">
        <v>2025.2673999999995</v>
      </c>
      <c r="V12">
        <v>5602.5990999999995</v>
      </c>
      <c r="W12">
        <v>15622.539899999996</v>
      </c>
      <c r="X12">
        <v>73002.092399999994</v>
      </c>
      <c r="Y12">
        <v>533960.56145562569</v>
      </c>
      <c r="Z12">
        <v>387753.42576458451</v>
      </c>
      <c r="AA12">
        <v>133052.21459999998</v>
      </c>
      <c r="AB12">
        <v>11998.841399999998</v>
      </c>
      <c r="AC12">
        <v>125277.93240000001</v>
      </c>
      <c r="AD12">
        <v>27433.692000000003</v>
      </c>
      <c r="AE12">
        <v>91218.446699999986</v>
      </c>
      <c r="AF12">
        <v>146229.75599999999</v>
      </c>
      <c r="AG12">
        <v>80779.154999999999</v>
      </c>
      <c r="AH12">
        <v>53904.481800000009</v>
      </c>
      <c r="AI12">
        <v>11546.119199999997</v>
      </c>
      <c r="AJ12">
        <v>1088868.8631000002</v>
      </c>
      <c r="AK12">
        <v>29483.101200000005</v>
      </c>
      <c r="AL12">
        <v>70893.274799999999</v>
      </c>
      <c r="AM12">
        <v>1188612.8254000002</v>
      </c>
      <c r="AN12">
        <v>929717.05110000016</v>
      </c>
    </row>
    <row r="13" spans="1:40" x14ac:dyDescent="0.25">
      <c r="A13" s="1">
        <f t="shared" si="0"/>
        <v>37681</v>
      </c>
      <c r="B13" s="6">
        <v>114246.27492689999</v>
      </c>
      <c r="C13" s="6">
        <v>-24276.70502880001</v>
      </c>
      <c r="D13" s="6">
        <v>318740.71536000003</v>
      </c>
      <c r="E13" s="6">
        <v>316684.12733839994</v>
      </c>
      <c r="F13" s="6">
        <v>1976.6364072000001</v>
      </c>
      <c r="G13" s="6">
        <v>122340.3980864</v>
      </c>
      <c r="H13" s="6">
        <v>75746.737064659508</v>
      </c>
      <c r="I13" s="6">
        <v>51335.329249739843</v>
      </c>
      <c r="J13">
        <v>24453.035098799999</v>
      </c>
      <c r="K13">
        <v>17057.323096000004</v>
      </c>
      <c r="L13">
        <v>1413.3160716</v>
      </c>
      <c r="M13">
        <v>4210.8691336000011</v>
      </c>
      <c r="N13">
        <v>45396.354422300006</v>
      </c>
      <c r="O13">
        <v>6088.8315903999992</v>
      </c>
      <c r="P13">
        <v>7863.874200000002</v>
      </c>
      <c r="Q13">
        <v>4096.7206560000004</v>
      </c>
      <c r="R13">
        <v>2261.0971277999997</v>
      </c>
      <c r="S13">
        <v>114.64317200000001</v>
      </c>
      <c r="T13">
        <v>1594.6678481999998</v>
      </c>
      <c r="U13">
        <v>2111.084781</v>
      </c>
      <c r="V13">
        <v>4820.2868451999993</v>
      </c>
      <c r="W13">
        <v>16433.348014299998</v>
      </c>
      <c r="X13">
        <v>79172.153378999981</v>
      </c>
      <c r="Y13">
        <v>549006.68079212715</v>
      </c>
      <c r="Z13">
        <v>404928.66428532393</v>
      </c>
      <c r="AA13">
        <v>138831.89671520001</v>
      </c>
      <c r="AB13">
        <v>14322.769495499997</v>
      </c>
      <c r="AC13">
        <v>133413.837271</v>
      </c>
      <c r="AD13">
        <v>31875.700078400001</v>
      </c>
      <c r="AE13">
        <v>89506.792015199972</v>
      </c>
      <c r="AF13">
        <v>144309.86756340496</v>
      </c>
      <c r="AG13">
        <v>80571.633449999994</v>
      </c>
      <c r="AH13">
        <v>52025.818622399995</v>
      </c>
      <c r="AI13">
        <v>11712.471717599996</v>
      </c>
      <c r="AJ13">
        <v>1182343.0672559999</v>
      </c>
      <c r="AK13">
        <v>19875.642034799999</v>
      </c>
      <c r="AL13">
        <v>77545.830367199989</v>
      </c>
      <c r="AM13">
        <v>1280611.6058100001</v>
      </c>
      <c r="AN13">
        <v>964729.02613254532</v>
      </c>
    </row>
    <row r="14" spans="1:40" x14ac:dyDescent="0.25">
      <c r="A14" s="1">
        <f t="shared" si="0"/>
        <v>37773</v>
      </c>
      <c r="B14" s="6">
        <v>116701.00699409998</v>
      </c>
      <c r="C14" s="6">
        <v>-24930.986850000001</v>
      </c>
      <c r="D14" s="6">
        <v>326608.22270300001</v>
      </c>
      <c r="E14" s="6">
        <v>324541.35688799998</v>
      </c>
      <c r="F14" s="6">
        <v>2074.8560669999997</v>
      </c>
      <c r="G14" s="6">
        <v>130473.46025999998</v>
      </c>
      <c r="H14" s="6">
        <v>72765.698654068707</v>
      </c>
      <c r="I14" s="6">
        <v>48105.863632070279</v>
      </c>
      <c r="J14">
        <v>24570.656510400004</v>
      </c>
      <c r="K14">
        <v>12683.0162196</v>
      </c>
      <c r="L14">
        <v>1200.6320711999999</v>
      </c>
      <c r="M14">
        <v>3966.7756283999993</v>
      </c>
      <c r="N14">
        <v>58244.708460399997</v>
      </c>
      <c r="O14">
        <v>5624.3984351999989</v>
      </c>
      <c r="P14">
        <v>8195.9644799999987</v>
      </c>
      <c r="Q14">
        <v>4221.5538959999994</v>
      </c>
      <c r="R14">
        <v>2789.3432599999996</v>
      </c>
      <c r="S14">
        <v>129.97992239999996</v>
      </c>
      <c r="T14">
        <v>1556.6298048000001</v>
      </c>
      <c r="U14">
        <v>2104.5968496</v>
      </c>
      <c r="V14">
        <v>5371.8995469999991</v>
      </c>
      <c r="W14">
        <v>16848.612107600002</v>
      </c>
      <c r="X14">
        <v>77174.295933600006</v>
      </c>
      <c r="Y14">
        <v>605217.20133340382</v>
      </c>
      <c r="Z14">
        <v>419522.60495293513</v>
      </c>
      <c r="AA14">
        <v>142668.66072240003</v>
      </c>
      <c r="AB14">
        <v>19388.802168000002</v>
      </c>
      <c r="AC14">
        <v>135931.54467600002</v>
      </c>
      <c r="AD14">
        <v>33193.238347500002</v>
      </c>
      <c r="AE14">
        <v>91045.058457599996</v>
      </c>
      <c r="AF14">
        <v>186252.62894048609</v>
      </c>
      <c r="AG14">
        <v>107912.61555479998</v>
      </c>
      <c r="AH14">
        <v>66414.385489200009</v>
      </c>
      <c r="AI14">
        <v>11892.322713599999</v>
      </c>
      <c r="AJ14">
        <v>1251580.4638584</v>
      </c>
      <c r="AK14">
        <v>25729.935306900006</v>
      </c>
      <c r="AL14">
        <v>75057.659039999999</v>
      </c>
      <c r="AM14">
        <v>1352844.1230359999</v>
      </c>
      <c r="AN14">
        <v>1028067.9809911698</v>
      </c>
    </row>
    <row r="15" spans="1:40" x14ac:dyDescent="0.25">
      <c r="A15" s="1">
        <f t="shared" si="0"/>
        <v>37865</v>
      </c>
      <c r="B15" s="6">
        <v>105545.45433600001</v>
      </c>
      <c r="C15" s="6">
        <v>-24243.49127200001</v>
      </c>
      <c r="D15" s="6">
        <v>274676.8299366</v>
      </c>
      <c r="E15" s="6">
        <v>272192.89018739999</v>
      </c>
      <c r="F15" s="6">
        <v>2203.7754703999999</v>
      </c>
      <c r="G15" s="6">
        <v>120072.67943220002</v>
      </c>
      <c r="H15" s="6">
        <v>70484.463473510608</v>
      </c>
      <c r="I15" s="6">
        <v>46487.549967920975</v>
      </c>
      <c r="J15">
        <v>24008.391989999993</v>
      </c>
      <c r="K15">
        <v>11959.278195600004</v>
      </c>
      <c r="L15">
        <v>1053.8090368000001</v>
      </c>
      <c r="M15">
        <v>4045.3361675999995</v>
      </c>
      <c r="N15">
        <v>49713.169251200001</v>
      </c>
      <c r="O15">
        <v>5415.4987976000011</v>
      </c>
      <c r="P15">
        <v>8220.6937377999984</v>
      </c>
      <c r="Q15">
        <v>4044.1513559999999</v>
      </c>
      <c r="R15">
        <v>2764.6490019000003</v>
      </c>
      <c r="S15">
        <v>139.05748949999997</v>
      </c>
      <c r="T15">
        <v>1465.2357300000001</v>
      </c>
      <c r="U15">
        <v>1937.4949583999999</v>
      </c>
      <c r="V15">
        <v>5099.153739299999</v>
      </c>
      <c r="W15">
        <v>16501.8439397</v>
      </c>
      <c r="X15">
        <v>83384.780869399998</v>
      </c>
      <c r="Y15">
        <v>542538.9928233769</v>
      </c>
      <c r="Z15">
        <v>403765.19712912093</v>
      </c>
      <c r="AA15">
        <v>141845.77323629998</v>
      </c>
      <c r="AB15">
        <v>10192.371327599998</v>
      </c>
      <c r="AC15">
        <v>128505.965536</v>
      </c>
      <c r="AD15">
        <v>32748.141887999991</v>
      </c>
      <c r="AE15">
        <v>92731.403138399983</v>
      </c>
      <c r="AF15">
        <v>138904.19135027713</v>
      </c>
      <c r="AG15">
        <v>75374.931431999998</v>
      </c>
      <c r="AH15">
        <v>51563.692151999996</v>
      </c>
      <c r="AI15">
        <v>11950.331309999998</v>
      </c>
      <c r="AJ15">
        <v>1122516.6146712</v>
      </c>
      <c r="AK15">
        <v>37939.461120000007</v>
      </c>
      <c r="AL15">
        <v>73247.566308000023</v>
      </c>
      <c r="AM15">
        <v>1233580.6807349999</v>
      </c>
      <c r="AN15">
        <v>957432.27470239508</v>
      </c>
    </row>
    <row r="16" spans="1:40" x14ac:dyDescent="0.25">
      <c r="A16" s="1">
        <f t="shared" si="0"/>
        <v>37956</v>
      </c>
      <c r="B16" s="6">
        <v>122710.08118599995</v>
      </c>
      <c r="C16" s="6">
        <v>-21917.613113999996</v>
      </c>
      <c r="D16" s="6">
        <v>292109.10960479995</v>
      </c>
      <c r="E16" s="6">
        <v>289681.14701999997</v>
      </c>
      <c r="F16" s="6">
        <v>2136.3167232000001</v>
      </c>
      <c r="G16" s="6">
        <v>107771.88261059998</v>
      </c>
      <c r="H16" s="6">
        <v>70348.305260016292</v>
      </c>
      <c r="I16" s="6">
        <v>44667.252212738575</v>
      </c>
      <c r="J16">
        <v>25754.819230799996</v>
      </c>
      <c r="K16">
        <v>8984.6471087999998</v>
      </c>
      <c r="L16">
        <v>994.92798720000019</v>
      </c>
      <c r="M16">
        <v>4063.9270671999993</v>
      </c>
      <c r="N16">
        <v>37869.119283200002</v>
      </c>
      <c r="O16">
        <v>5449.3955712000006</v>
      </c>
      <c r="P16">
        <v>8523.2674031999995</v>
      </c>
      <c r="Q16">
        <v>3933.0693161999998</v>
      </c>
      <c r="R16">
        <v>3273.9342096000009</v>
      </c>
      <c r="S16">
        <v>151.37689280000001</v>
      </c>
      <c r="T16">
        <v>1841.9641656000003</v>
      </c>
      <c r="U16">
        <v>2002.9894585999998</v>
      </c>
      <c r="V16">
        <v>5580.1887035999989</v>
      </c>
      <c r="W16">
        <v>16497.402134399992</v>
      </c>
      <c r="X16">
        <v>81616.339303200017</v>
      </c>
      <c r="Y16">
        <v>555201.04948957625</v>
      </c>
      <c r="Z16">
        <v>404969.54245818499</v>
      </c>
      <c r="AA16">
        <v>142498.92183660003</v>
      </c>
      <c r="AB16">
        <v>8675.1623321999996</v>
      </c>
      <c r="AC16">
        <v>129662.66003399999</v>
      </c>
      <c r="AD16">
        <v>30204.494892000002</v>
      </c>
      <c r="AE16">
        <v>95596.932141600002</v>
      </c>
      <c r="AF16">
        <v>150181.68229545883</v>
      </c>
      <c r="AG16">
        <v>82152.400634999969</v>
      </c>
      <c r="AH16">
        <v>55952.852108400009</v>
      </c>
      <c r="AI16">
        <v>12031.056206399999</v>
      </c>
      <c r="AJ16">
        <v>1158556.4703384</v>
      </c>
      <c r="AK16">
        <v>49914.8903316</v>
      </c>
      <c r="AL16">
        <v>72098.460471599974</v>
      </c>
      <c r="AM16">
        <v>1280136.0129557999</v>
      </c>
      <c r="AN16">
        <v>985335.7864324908</v>
      </c>
    </row>
    <row r="17" spans="1:40" x14ac:dyDescent="0.25">
      <c r="A17" s="1">
        <f t="shared" si="0"/>
        <v>38047</v>
      </c>
      <c r="B17" s="6">
        <v>124528.43967032102</v>
      </c>
      <c r="C17" s="6">
        <v>-26194.564726075208</v>
      </c>
      <c r="D17" s="6">
        <v>369739.22981760005</v>
      </c>
      <c r="E17" s="6">
        <v>367670.27183988225</v>
      </c>
      <c r="F17" s="6">
        <v>2107.0944100752008</v>
      </c>
      <c r="G17" s="6">
        <v>119281.88813423998</v>
      </c>
      <c r="H17" s="6">
        <v>76435.44632560898</v>
      </c>
      <c r="I17" s="6">
        <v>50833.187109019054</v>
      </c>
      <c r="J17">
        <v>25724.592923937606</v>
      </c>
      <c r="K17">
        <v>16426.202141448</v>
      </c>
      <c r="L17">
        <v>1437.3424448172</v>
      </c>
      <c r="M17">
        <v>3987.6930695192013</v>
      </c>
      <c r="N17">
        <v>42173.213258316704</v>
      </c>
      <c r="O17">
        <v>6198.4305590271997</v>
      </c>
      <c r="P17">
        <v>8115.518174400002</v>
      </c>
      <c r="Q17">
        <v>4096.7206560000004</v>
      </c>
      <c r="R17">
        <v>2304.0579732281999</v>
      </c>
      <c r="S17">
        <v>121.98033500799998</v>
      </c>
      <c r="T17">
        <v>1419.2543848979997</v>
      </c>
      <c r="U17">
        <v>2022.4192201979999</v>
      </c>
      <c r="V17">
        <v>4844.3882794259989</v>
      </c>
      <c r="W17">
        <v>17074.248586857691</v>
      </c>
      <c r="X17">
        <v>81151.457213474991</v>
      </c>
      <c r="Y17">
        <v>568057.09050945356</v>
      </c>
      <c r="Z17">
        <v>421485.3907630365</v>
      </c>
      <c r="AA17">
        <v>147022.97862139682</v>
      </c>
      <c r="AB17">
        <v>9768.1287959309975</v>
      </c>
      <c r="AC17">
        <v>140351.35680909199</v>
      </c>
      <c r="AD17">
        <v>35095.145786318397</v>
      </c>
      <c r="AE17">
        <v>93713.611239914375</v>
      </c>
      <c r="AF17">
        <v>147306.40970116045</v>
      </c>
      <c r="AG17">
        <v>81780.207951749981</v>
      </c>
      <c r="AH17">
        <v>53430.515725204779</v>
      </c>
      <c r="AI17">
        <v>12110.695755998397</v>
      </c>
      <c r="AJ17">
        <v>1263924.738896664</v>
      </c>
      <c r="AK17">
        <v>31284.260562775195</v>
      </c>
      <c r="AL17">
        <v>79639.567787114385</v>
      </c>
      <c r="AM17">
        <v>1375376.8646399402</v>
      </c>
      <c r="AN17">
        <v>1005706.3429762798</v>
      </c>
    </row>
    <row r="18" spans="1:40" x14ac:dyDescent="0.25">
      <c r="A18" s="1">
        <f t="shared" si="0"/>
        <v>38139</v>
      </c>
      <c r="B18" s="6">
        <v>124169.87144172238</v>
      </c>
      <c r="C18" s="6">
        <v>-26750.948890049993</v>
      </c>
      <c r="D18" s="6">
        <v>342285.41739274398</v>
      </c>
      <c r="E18" s="6">
        <v>339794.80066173594</v>
      </c>
      <c r="F18" s="6">
        <v>2228.3954159579998</v>
      </c>
      <c r="G18" s="6">
        <v>126167.83607142</v>
      </c>
      <c r="H18" s="6">
        <v>74756.388740198468</v>
      </c>
      <c r="I18" s="6">
        <v>48595.666403332994</v>
      </c>
      <c r="J18">
        <v>26216.890496596796</v>
      </c>
      <c r="K18">
        <v>11719.106986910401</v>
      </c>
      <c r="L18">
        <v>1279.8737878992001</v>
      </c>
      <c r="M18">
        <v>4101.6459997655993</v>
      </c>
      <c r="N18">
        <v>50905.875194389606</v>
      </c>
      <c r="O18">
        <v>5759.3839976447998</v>
      </c>
      <c r="P18">
        <v>8810.661815999998</v>
      </c>
      <c r="Q18">
        <v>4251.104773271999</v>
      </c>
      <c r="R18">
        <v>2861.8661847599997</v>
      </c>
      <c r="S18">
        <v>137.51875789919993</v>
      </c>
      <c r="T18">
        <v>1730.9723429376004</v>
      </c>
      <c r="U18">
        <v>2115.1198338479999</v>
      </c>
      <c r="V18">
        <v>5506.1970356749998</v>
      </c>
      <c r="W18">
        <v>17758.437161410402</v>
      </c>
      <c r="X18">
        <v>84351.505455424791</v>
      </c>
      <c r="Y18">
        <v>638815.81738028466</v>
      </c>
      <c r="Z18">
        <v>449853.71484666993</v>
      </c>
      <c r="AA18">
        <v>150230.09974068726</v>
      </c>
      <c r="AB18">
        <v>27861.708715416007</v>
      </c>
      <c r="AC18">
        <v>142864.053454476</v>
      </c>
      <c r="AD18">
        <v>36313.402752165006</v>
      </c>
      <c r="AE18">
        <v>95233.131146649583</v>
      </c>
      <c r="AF18">
        <v>189783.3277161351</v>
      </c>
      <c r="AG18">
        <v>109639.2174036768</v>
      </c>
      <c r="AH18">
        <v>67809.087584473193</v>
      </c>
      <c r="AI18">
        <v>12284.769363148798</v>
      </c>
      <c r="AJ18">
        <v>1311656.3261236032</v>
      </c>
      <c r="AK18">
        <v>31313.331268497313</v>
      </c>
      <c r="AL18">
        <v>78510.311355840022</v>
      </c>
      <c r="AM18">
        <v>1421839.1733108358</v>
      </c>
      <c r="AN18">
        <v>1081790.2279384085</v>
      </c>
    </row>
    <row r="19" spans="1:40" x14ac:dyDescent="0.25">
      <c r="A19" s="1">
        <f t="shared" si="0"/>
        <v>38231</v>
      </c>
      <c r="B19" s="6">
        <v>108500.72705740802</v>
      </c>
      <c r="C19" s="6">
        <v>-25819.318204680007</v>
      </c>
      <c r="D19" s="6">
        <v>308736.75684873841</v>
      </c>
      <c r="E19" s="6">
        <v>305944.8085706376</v>
      </c>
      <c r="F19" s="6">
        <v>2371.2624061504002</v>
      </c>
      <c r="G19" s="6">
        <v>104343.15842658182</v>
      </c>
      <c r="H19" s="6">
        <v>71120.168007543369</v>
      </c>
      <c r="I19" s="6">
        <v>46563.545660397613</v>
      </c>
      <c r="J19">
        <v>24584.593397759993</v>
      </c>
      <c r="K19">
        <v>11839.685413644003</v>
      </c>
      <c r="L19">
        <v>988.47287651839986</v>
      </c>
      <c r="M19">
        <v>3936.1120910748</v>
      </c>
      <c r="N19">
        <v>32810.691705792</v>
      </c>
      <c r="O19">
        <v>5545.4707687424016</v>
      </c>
      <c r="P19">
        <v>8368.6662250803984</v>
      </c>
      <c r="Q19">
        <v>4100.7694749839993</v>
      </c>
      <c r="R19">
        <v>2828.2359289437004</v>
      </c>
      <c r="S19">
        <v>143.22921418500002</v>
      </c>
      <c r="T19">
        <v>1479.8880873000001</v>
      </c>
      <c r="U19">
        <v>1931.6824735247999</v>
      </c>
      <c r="V19">
        <v>5083.8562780820985</v>
      </c>
      <c r="W19">
        <v>17574.463795780503</v>
      </c>
      <c r="X19">
        <v>98810.965330238992</v>
      </c>
      <c r="Y19">
        <v>564367.18775747146</v>
      </c>
      <c r="Z19">
        <v>423744.59393706376</v>
      </c>
      <c r="AA19">
        <v>149647.29076429649</v>
      </c>
      <c r="AB19">
        <v>8204.8589187179969</v>
      </c>
      <c r="AC19">
        <v>135830.80557155202</v>
      </c>
      <c r="AD19">
        <v>35531.733948479989</v>
      </c>
      <c r="AE19">
        <v>97182.510489043198</v>
      </c>
      <c r="AF19">
        <v>141540.6115945004</v>
      </c>
      <c r="AG19">
        <v>76807.055129207991</v>
      </c>
      <c r="AH19">
        <v>52440.274918583986</v>
      </c>
      <c r="AI19">
        <v>12296.890917989998</v>
      </c>
      <c r="AJ19">
        <v>1184255.0284781158</v>
      </c>
      <c r="AK19">
        <v>31527.692190720005</v>
      </c>
      <c r="AL19">
        <v>79986.342408336015</v>
      </c>
      <c r="AM19">
        <v>1295259.7147717502</v>
      </c>
      <c r="AN19">
        <v>982387.7733182488</v>
      </c>
    </row>
    <row r="20" spans="1:40" x14ac:dyDescent="0.25">
      <c r="A20" s="1">
        <f t="shared" si="0"/>
        <v>38322</v>
      </c>
      <c r="B20" s="6">
        <v>119028.77875041998</v>
      </c>
      <c r="C20" s="6">
        <v>-23079.246609041995</v>
      </c>
      <c r="D20" s="6">
        <v>295906.52802966232</v>
      </c>
      <c r="E20" s="6">
        <v>293447.00193125993</v>
      </c>
      <c r="F20" s="6">
        <v>2358.4936624127999</v>
      </c>
      <c r="G20" s="6">
        <v>94731.484814717391</v>
      </c>
      <c r="H20" s="6">
        <v>70501.523821131268</v>
      </c>
      <c r="I20" s="6">
        <v>43826.075630104591</v>
      </c>
      <c r="J20">
        <v>26991.050553878405</v>
      </c>
      <c r="K20">
        <v>8858.8620492767986</v>
      </c>
      <c r="L20">
        <v>1007.8620510336</v>
      </c>
      <c r="M20">
        <v>3966.3928175872002</v>
      </c>
      <c r="N20">
        <v>26281.168782540793</v>
      </c>
      <c r="O20">
        <v>5552.9340870527994</v>
      </c>
      <c r="P20">
        <v>8088.5807656367988</v>
      </c>
      <c r="Q20">
        <v>4031.3960491049997</v>
      </c>
      <c r="R20">
        <v>3234.6469990848009</v>
      </c>
      <c r="S20">
        <v>148.19797805120001</v>
      </c>
      <c r="T20">
        <v>1792.2311331288004</v>
      </c>
      <c r="U20">
        <v>2000.9864691413998</v>
      </c>
      <c r="V20">
        <v>5250.9575700875976</v>
      </c>
      <c r="W20">
        <v>18031.660532899194</v>
      </c>
      <c r="X20">
        <v>85533.923589753627</v>
      </c>
      <c r="Y20">
        <v>579708.25176055706</v>
      </c>
      <c r="Z20">
        <v>427141.49577547924</v>
      </c>
      <c r="AA20">
        <v>149766.36685026661</v>
      </c>
      <c r="AB20">
        <v>6168.0404181941994</v>
      </c>
      <c r="AC20">
        <v>138739.04623638</v>
      </c>
      <c r="AD20">
        <v>32409.423019116002</v>
      </c>
      <c r="AE20">
        <v>100567.97261296319</v>
      </c>
      <c r="AF20">
        <v>152543.0033045481</v>
      </c>
      <c r="AG20">
        <v>83466.839045159955</v>
      </c>
      <c r="AH20">
        <v>56680.239185809216</v>
      </c>
      <c r="AI20">
        <v>12355.894723972795</v>
      </c>
      <c r="AJ20">
        <v>1174776.2609231374</v>
      </c>
      <c r="AK20">
        <v>36837.189064720798</v>
      </c>
      <c r="AL20">
        <v>80966.571109606768</v>
      </c>
      <c r="AM20">
        <v>1291657.2370724024</v>
      </c>
      <c r="AN20">
        <v>992644.35528998217</v>
      </c>
    </row>
    <row r="21" spans="1:40" x14ac:dyDescent="0.25">
      <c r="A21" s="1">
        <f t="shared" si="0"/>
        <v>38412</v>
      </c>
      <c r="B21" s="6">
        <v>122660.51307526621</v>
      </c>
      <c r="C21" s="6">
        <v>-27216.152750392142</v>
      </c>
      <c r="D21" s="6">
        <v>386007.75592957449</v>
      </c>
      <c r="E21" s="6">
        <v>383480.09352899721</v>
      </c>
      <c r="F21" s="6">
        <v>2359.9457392842255</v>
      </c>
      <c r="G21" s="6">
        <v>97214.738829405571</v>
      </c>
      <c r="H21" s="6">
        <v>77634.935864557425</v>
      </c>
      <c r="I21" s="6">
        <v>49632.681579092765</v>
      </c>
      <c r="J21">
        <v>28219.87843755955</v>
      </c>
      <c r="K21">
        <v>14964.270150859133</v>
      </c>
      <c r="L21">
        <v>1346.7898707937163</v>
      </c>
      <c r="M21">
        <v>3939.8407526849714</v>
      </c>
      <c r="N21">
        <v>21044.433415900032</v>
      </c>
      <c r="O21">
        <v>6254.2164340584441</v>
      </c>
      <c r="P21">
        <v>8456.3699377248013</v>
      </c>
      <c r="Q21">
        <v>4305.6534094560002</v>
      </c>
      <c r="R21">
        <v>2301.7539152549716</v>
      </c>
      <c r="S21">
        <v>132.836584823712</v>
      </c>
      <c r="T21">
        <v>1476.0245602939196</v>
      </c>
      <c r="U21">
        <v>2062.86760460196</v>
      </c>
      <c r="V21">
        <v>4301.8167921302866</v>
      </c>
      <c r="W21">
        <v>19396.346394670341</v>
      </c>
      <c r="X21">
        <v>97300.597198956501</v>
      </c>
      <c r="Y21">
        <v>601030.66307406139</v>
      </c>
      <c r="Z21">
        <v>454342.83571592579</v>
      </c>
      <c r="AA21">
        <v>154962.21946695226</v>
      </c>
      <c r="AB21">
        <v>14056.337337344703</v>
      </c>
      <c r="AC21">
        <v>152982.97892191028</v>
      </c>
      <c r="AD21">
        <v>37130.664241924867</v>
      </c>
      <c r="AE21">
        <v>99055.287080589493</v>
      </c>
      <c r="AF21">
        <v>148202.97504699932</v>
      </c>
      <c r="AG21">
        <v>82025.548575605222</v>
      </c>
      <c r="AH21">
        <v>53804.5293352812</v>
      </c>
      <c r="AI21">
        <v>12401.352454142359</v>
      </c>
      <c r="AJ21">
        <v>1313217.8037136334</v>
      </c>
      <c r="AK21">
        <v>33474.15880216947</v>
      </c>
      <c r="AL21">
        <v>88001.7224047614</v>
      </c>
      <c r="AM21">
        <v>1435893.4466840979</v>
      </c>
      <c r="AN21">
        <v>1050187.7186602217</v>
      </c>
    </row>
    <row r="22" spans="1:40" x14ac:dyDescent="0.25">
      <c r="A22" s="1">
        <f t="shared" si="0"/>
        <v>38504</v>
      </c>
      <c r="B22" s="6">
        <v>123797.36182739721</v>
      </c>
      <c r="C22" s="6">
        <v>-27794.235896761944</v>
      </c>
      <c r="D22" s="6">
        <v>406977.36127997265</v>
      </c>
      <c r="E22" s="6">
        <v>404355.81278746569</v>
      </c>
      <c r="F22" s="6">
        <v>2504.7164475367922</v>
      </c>
      <c r="G22" s="6">
        <v>103205.28990642156</v>
      </c>
      <c r="H22" s="6">
        <v>75194.039847006643</v>
      </c>
      <c r="I22" s="6">
        <v>46943.570097704833</v>
      </c>
      <c r="J22">
        <v>28550.193750793915</v>
      </c>
      <c r="K22">
        <v>11496.443954159104</v>
      </c>
      <c r="L22">
        <v>1261.9555548686114</v>
      </c>
      <c r="M22">
        <v>3999.1048497714596</v>
      </c>
      <c r="N22">
        <v>28201.854857691847</v>
      </c>
      <c r="O22">
        <v>5828.4966056165358</v>
      </c>
      <c r="P22">
        <v>8237.9687979599985</v>
      </c>
      <c r="Q22">
        <v>4416.8978594296068</v>
      </c>
      <c r="R22">
        <v>2787.4576639562397</v>
      </c>
      <c r="S22">
        <v>129.81770745684474</v>
      </c>
      <c r="T22">
        <v>1647.8856704765956</v>
      </c>
      <c r="U22">
        <v>2153.191990857264</v>
      </c>
      <c r="V22">
        <v>4740.8356477161742</v>
      </c>
      <c r="W22">
        <v>19285.662757291699</v>
      </c>
      <c r="X22">
        <v>89750.001804571992</v>
      </c>
      <c r="Y22">
        <v>657104.87760566897</v>
      </c>
      <c r="Z22">
        <v>466937.09586389083</v>
      </c>
      <c r="AA22">
        <v>157140.68432875891</v>
      </c>
      <c r="AB22">
        <v>14683.120493024238</v>
      </c>
      <c r="AC22">
        <v>157579.05096028704</v>
      </c>
      <c r="AD22">
        <v>38346.953306286254</v>
      </c>
      <c r="AE22">
        <v>100947.11901544857</v>
      </c>
      <c r="AF22">
        <v>190496.31269830279</v>
      </c>
      <c r="AG22">
        <v>109529.57818627308</v>
      </c>
      <c r="AH22">
        <v>68283.751197564488</v>
      </c>
      <c r="AI22">
        <v>12567.31905850122</v>
      </c>
      <c r="AJ22">
        <v>1386420.7367126485</v>
      </c>
      <c r="AK22">
        <v>34288.097739004552</v>
      </c>
      <c r="AL22">
        <v>84320.074396172189</v>
      </c>
      <c r="AM22">
        <v>1505727.6845361749</v>
      </c>
      <c r="AN22">
        <v>1093697.3783597155</v>
      </c>
    </row>
    <row r="23" spans="1:40" x14ac:dyDescent="0.25">
      <c r="A23" s="1">
        <f t="shared" si="0"/>
        <v>38596</v>
      </c>
      <c r="B23" s="6">
        <v>111864.24959618764</v>
      </c>
      <c r="C23" s="6">
        <v>-27239.380705937401</v>
      </c>
      <c r="D23" s="6">
        <v>326334.75198911648</v>
      </c>
      <c r="E23" s="6">
        <v>323383.66265916388</v>
      </c>
      <c r="F23" s="6">
        <v>2606.0173843592897</v>
      </c>
      <c r="G23" s="6">
        <v>91821.979415392008</v>
      </c>
      <c r="H23" s="6">
        <v>72931.571539828758</v>
      </c>
      <c r="I23" s="6">
        <v>46047.858617224621</v>
      </c>
      <c r="J23">
        <v>27116.80651772927</v>
      </c>
      <c r="K23">
        <v>11164.823345066294</v>
      </c>
      <c r="L23">
        <v>1030.9772102086911</v>
      </c>
      <c r="M23">
        <v>4038.4510054427446</v>
      </c>
      <c r="N23">
        <v>20998.842691706879</v>
      </c>
      <c r="O23">
        <v>5700.7439502671896</v>
      </c>
      <c r="P23">
        <v>8778.730870109337</v>
      </c>
      <c r="Q23">
        <v>4117.1725528839352</v>
      </c>
      <c r="R23">
        <v>2785.8123900095452</v>
      </c>
      <c r="S23">
        <v>133.91931526297503</v>
      </c>
      <c r="T23">
        <v>1540.5634988793001</v>
      </c>
      <c r="U23">
        <v>1960.6577106276718</v>
      </c>
      <c r="V23">
        <v>4433.1226744875903</v>
      </c>
      <c r="W23">
        <v>19068.293218421844</v>
      </c>
      <c r="X23">
        <v>97526.422780945868</v>
      </c>
      <c r="Y23">
        <v>598917.95111602184</v>
      </c>
      <c r="Z23">
        <v>459063.26120126853</v>
      </c>
      <c r="AA23">
        <v>156830.36072098269</v>
      </c>
      <c r="AB23">
        <v>14383.11768451265</v>
      </c>
      <c r="AC23">
        <v>149957.20935099345</v>
      </c>
      <c r="AD23">
        <v>37912.360123028142</v>
      </c>
      <c r="AE23">
        <v>102819.09609740772</v>
      </c>
      <c r="AF23">
        <v>142900.55802803612</v>
      </c>
      <c r="AG23">
        <v>77267.897459983244</v>
      </c>
      <c r="AH23">
        <v>53069.558217607002</v>
      </c>
      <c r="AI23">
        <v>12616.61008185774</v>
      </c>
      <c r="AJ23">
        <v>1226888.2095033282</v>
      </c>
      <c r="AK23">
        <v>33041.021415874566</v>
      </c>
      <c r="AL23">
        <v>87185.113225086257</v>
      </c>
      <c r="AM23">
        <v>1345774.8436478479</v>
      </c>
      <c r="AN23">
        <v>1013142.7686018582</v>
      </c>
    </row>
    <row r="24" spans="1:40" x14ac:dyDescent="0.25">
      <c r="A24" s="1">
        <f t="shared" si="0"/>
        <v>38687</v>
      </c>
      <c r="B24" s="6">
        <v>131645.82929796446</v>
      </c>
      <c r="C24" s="6">
        <v>-25156.378803855776</v>
      </c>
      <c r="D24" s="6">
        <v>327272.62000080652</v>
      </c>
      <c r="E24" s="6">
        <v>324552.38413597352</v>
      </c>
      <c r="F24" s="6">
        <v>2462.267383558964</v>
      </c>
      <c r="G24" s="6">
        <v>92079.003239905302</v>
      </c>
      <c r="H24" s="6">
        <v>74194.45316156125</v>
      </c>
      <c r="I24" s="6">
        <v>45526.139912987142</v>
      </c>
      <c r="J24">
        <v>29204.316699296436</v>
      </c>
      <c r="K24">
        <v>9018.3215661637823</v>
      </c>
      <c r="L24">
        <v>1027.0114300032383</v>
      </c>
      <c r="M24">
        <v>4061.5862452092924</v>
      </c>
      <c r="N24">
        <v>22233.868790029512</v>
      </c>
      <c r="O24">
        <v>5869.4513300148092</v>
      </c>
      <c r="P24">
        <v>9795.2713071861617</v>
      </c>
      <c r="Q24">
        <v>3809.6692664042253</v>
      </c>
      <c r="R24">
        <v>3279.9320570719869</v>
      </c>
      <c r="S24">
        <v>135.60114991684799</v>
      </c>
      <c r="T24">
        <v>1727.7108123361636</v>
      </c>
      <c r="U24">
        <v>1954.9637803511478</v>
      </c>
      <c r="V24">
        <v>4830.8809644805897</v>
      </c>
      <c r="W24">
        <v>18933.243559544157</v>
      </c>
      <c r="X24">
        <v>103324.97969642238</v>
      </c>
      <c r="Y24">
        <v>613907.8829862274</v>
      </c>
      <c r="Z24">
        <v>459008.27655018604</v>
      </c>
      <c r="AA24">
        <v>155008.1896900259</v>
      </c>
      <c r="AB24">
        <v>14858.809367429827</v>
      </c>
      <c r="AC24">
        <v>152612.950860018</v>
      </c>
      <c r="AD24">
        <v>35423.499359893787</v>
      </c>
      <c r="AE24">
        <v>105998.64313406321</v>
      </c>
      <c r="AF24">
        <v>156264.85939720113</v>
      </c>
      <c r="AG24">
        <v>85470.043182243811</v>
      </c>
      <c r="AH24">
        <v>58040.564926268635</v>
      </c>
      <c r="AI24">
        <v>12726.57156569198</v>
      </c>
      <c r="AJ24">
        <v>1275807.0193625276</v>
      </c>
      <c r="AK24">
        <v>28290.961201705581</v>
      </c>
      <c r="AL24">
        <v>80804.637967387549</v>
      </c>
      <c r="AM24">
        <v>1385948.2153786875</v>
      </c>
      <c r="AN24">
        <v>1049790.5927789549</v>
      </c>
    </row>
    <row r="25" spans="1:40" x14ac:dyDescent="0.25">
      <c r="A25" s="1">
        <f t="shared" si="0"/>
        <v>38777</v>
      </c>
      <c r="B25" s="6">
        <v>135294.54592201859</v>
      </c>
      <c r="C25" s="6">
        <v>-31026.414135447045</v>
      </c>
      <c r="D25" s="6">
        <v>377129.57754319429</v>
      </c>
      <c r="E25" s="6">
        <v>374660.05137783027</v>
      </c>
      <c r="F25" s="6">
        <v>2392.9849796342046</v>
      </c>
      <c r="G25" s="6">
        <v>96728.665135258547</v>
      </c>
      <c r="H25" s="6">
        <v>79343.348198050982</v>
      </c>
      <c r="I25" s="6">
        <v>50431.41457492052</v>
      </c>
      <c r="J25">
        <v>29179.354304436576</v>
      </c>
      <c r="K25">
        <v>14934.341610557414</v>
      </c>
      <c r="L25">
        <v>1391.2339365299088</v>
      </c>
      <c r="M25">
        <v>4085.6148605343151</v>
      </c>
      <c r="N25">
        <v>22054.566219863234</v>
      </c>
      <c r="O25">
        <v>6873.38386103023</v>
      </c>
      <c r="P25">
        <v>9022.9467235523625</v>
      </c>
      <c r="Q25">
        <v>3689.9449719037925</v>
      </c>
      <c r="R25">
        <v>2285.6416378481872</v>
      </c>
      <c r="S25">
        <v>120.34994585028306</v>
      </c>
      <c r="T25">
        <v>1532.1134935850887</v>
      </c>
      <c r="U25">
        <v>2114.4392947170081</v>
      </c>
      <c r="V25">
        <v>4095.3295861080328</v>
      </c>
      <c r="W25">
        <v>20152.803904062479</v>
      </c>
      <c r="X25">
        <v>104792.74318327614</v>
      </c>
      <c r="Y25">
        <v>633094.24777104799</v>
      </c>
      <c r="Z25">
        <v>479167.87805534597</v>
      </c>
      <c r="AA25">
        <v>161160.70824563035</v>
      </c>
      <c r="AB25">
        <v>14702.928854862561</v>
      </c>
      <c r="AC25">
        <v>163538.80446752207</v>
      </c>
      <c r="AD25">
        <v>41957.650593375089</v>
      </c>
      <c r="AE25">
        <v>103413.71971213544</v>
      </c>
      <c r="AF25">
        <v>155569.91666339658</v>
      </c>
      <c r="AG25">
        <v>86536.953747263498</v>
      </c>
      <c r="AH25">
        <v>56171.928626033572</v>
      </c>
      <c r="AI25">
        <v>12872.603847399767</v>
      </c>
      <c r="AJ25">
        <v>1346048.2488064743</v>
      </c>
      <c r="AK25">
        <v>23900.549384748996</v>
      </c>
      <c r="AL25">
        <v>88353.729294380464</v>
      </c>
      <c r="AM25">
        <v>1461739.5287244115</v>
      </c>
      <c r="AN25">
        <v>1088089.7323989728</v>
      </c>
    </row>
    <row r="26" spans="1:40" x14ac:dyDescent="0.25">
      <c r="A26" s="1">
        <f t="shared" si="0"/>
        <v>38869</v>
      </c>
      <c r="B26" s="6">
        <v>136300.89537196432</v>
      </c>
      <c r="C26" s="6">
        <v>-32491.46176331471</v>
      </c>
      <c r="D26" s="6">
        <v>384186.62904829415</v>
      </c>
      <c r="E26" s="6">
        <v>381711.88727136771</v>
      </c>
      <c r="F26" s="6">
        <v>2497.2022981941818</v>
      </c>
      <c r="G26" s="6">
        <v>104753.36925501788</v>
      </c>
      <c r="H26" s="6">
        <v>76392.97268208141</v>
      </c>
      <c r="I26" s="6">
        <v>47645.513669359316</v>
      </c>
      <c r="J26">
        <v>29064.097238308204</v>
      </c>
      <c r="K26">
        <v>11151.55063553433</v>
      </c>
      <c r="L26">
        <v>1264.479465978349</v>
      </c>
      <c r="M26">
        <v>4083.0860516166595</v>
      </c>
      <c r="N26">
        <v>27919.836309114926</v>
      </c>
      <c r="O26">
        <v>6504.6022118680567</v>
      </c>
      <c r="P26">
        <v>8897.0063017967987</v>
      </c>
      <c r="Q26">
        <v>3590.9379597162697</v>
      </c>
      <c r="R26">
        <v>2851.5691902272329</v>
      </c>
      <c r="S26">
        <v>137.8664053191691</v>
      </c>
      <c r="T26">
        <v>1768.181324421387</v>
      </c>
      <c r="U26">
        <v>2209.1749826195528</v>
      </c>
      <c r="V26">
        <v>4627.0555921709865</v>
      </c>
      <c r="W26">
        <v>19941.375291039622</v>
      </c>
      <c r="X26">
        <v>111379.75223947383</v>
      </c>
      <c r="Y26">
        <v>695750.61355006741</v>
      </c>
      <c r="Z26">
        <v>492560.14521068119</v>
      </c>
      <c r="AA26">
        <v>165626.28128251189</v>
      </c>
      <c r="AB26">
        <v>16004.601337396423</v>
      </c>
      <c r="AC26">
        <v>167033.79401790432</v>
      </c>
      <c r="AD26">
        <v>44098.996302229192</v>
      </c>
      <c r="AE26">
        <v>104884.05665705107</v>
      </c>
      <c r="AF26">
        <v>203859.9081717275</v>
      </c>
      <c r="AG26">
        <v>118401.47401936119</v>
      </c>
      <c r="AH26">
        <v>72312.492518220795</v>
      </c>
      <c r="AI26">
        <v>13120.281097075273</v>
      </c>
      <c r="AJ26">
        <v>1426626.938077315</v>
      </c>
      <c r="AK26">
        <v>31682.20231084021</v>
      </c>
      <c r="AL26">
        <v>87355.597074434394</v>
      </c>
      <c r="AM26">
        <v>1547888.0597031878</v>
      </c>
      <c r="AN26">
        <v>1168867.4767307411</v>
      </c>
    </row>
    <row r="27" spans="1:40" x14ac:dyDescent="0.25">
      <c r="A27" s="1">
        <f t="shared" si="0"/>
        <v>38961</v>
      </c>
      <c r="B27" s="6">
        <v>122603.21755742168</v>
      </c>
      <c r="C27" s="6">
        <v>-31951.793568064575</v>
      </c>
      <c r="D27" s="6">
        <v>309365.3448856824</v>
      </c>
      <c r="E27" s="6">
        <v>306567.71220088733</v>
      </c>
      <c r="F27" s="6">
        <v>2647.7136625090384</v>
      </c>
      <c r="G27" s="6">
        <v>103667.01475997757</v>
      </c>
      <c r="H27" s="6">
        <v>75298.117572460382</v>
      </c>
      <c r="I27" s="6">
        <v>47846.840756147692</v>
      </c>
      <c r="J27">
        <v>27632.025841566123</v>
      </c>
      <c r="K27">
        <v>11231.812285136692</v>
      </c>
      <c r="L27">
        <v>999.0169166922218</v>
      </c>
      <c r="M27">
        <v>4139.412280578812</v>
      </c>
      <c r="N27">
        <v>27529.482768827718</v>
      </c>
      <c r="O27">
        <v>6316.4242968960461</v>
      </c>
      <c r="P27">
        <v>9419.5782236273189</v>
      </c>
      <c r="Q27">
        <v>3318.4410776244517</v>
      </c>
      <c r="R27">
        <v>3039.3213175004139</v>
      </c>
      <c r="S27">
        <v>142.08839349401649</v>
      </c>
      <c r="T27">
        <v>1717.7283012504197</v>
      </c>
      <c r="U27">
        <v>2062.6119115803112</v>
      </c>
      <c r="V27">
        <v>4743.4412617017215</v>
      </c>
      <c r="W27">
        <v>19525.932255663967</v>
      </c>
      <c r="X27">
        <v>115958.91668654468</v>
      </c>
      <c r="Y27">
        <v>633844.98298469617</v>
      </c>
      <c r="Z27">
        <v>484736.49379976362</v>
      </c>
      <c r="AA27">
        <v>166240.18236424169</v>
      </c>
      <c r="AB27">
        <v>16324.838571921857</v>
      </c>
      <c r="AC27">
        <v>158804.68470270207</v>
      </c>
      <c r="AD27">
        <v>43675.038861728419</v>
      </c>
      <c r="AE27">
        <v>106314.94536471958</v>
      </c>
      <c r="AF27">
        <v>152162.11475561431</v>
      </c>
      <c r="AG27">
        <v>82908.453974562028</v>
      </c>
      <c r="AH27">
        <v>56041.453477792995</v>
      </c>
      <c r="AI27">
        <v>13196.974145623195</v>
      </c>
      <c r="AJ27">
        <v>1271056.1850454479</v>
      </c>
      <c r="AK27">
        <v>28745.688631810874</v>
      </c>
      <c r="AL27">
        <v>89626.296395388665</v>
      </c>
      <c r="AM27">
        <v>1388839.6386445791</v>
      </c>
      <c r="AN27">
        <v>1087822.920727809</v>
      </c>
    </row>
    <row r="28" spans="1:40" x14ac:dyDescent="0.25">
      <c r="A28" s="1">
        <f t="shared" si="0"/>
        <v>39052</v>
      </c>
      <c r="B28" s="6">
        <v>138096.47493356475</v>
      </c>
      <c r="C28" s="6">
        <v>-29080.773897257281</v>
      </c>
      <c r="D28" s="6">
        <v>320399.89498078963</v>
      </c>
      <c r="E28" s="6">
        <v>317736.78406911809</v>
      </c>
      <c r="F28" s="6">
        <v>2474.5787204767585</v>
      </c>
      <c r="G28" s="6">
        <v>96130.479382461126</v>
      </c>
      <c r="H28" s="6">
        <v>77302.441936016301</v>
      </c>
      <c r="I28" s="6">
        <v>47758.827810301416</v>
      </c>
      <c r="J28">
        <v>29992.833250177438</v>
      </c>
      <c r="K28">
        <v>9550.4025385674468</v>
      </c>
      <c r="L28">
        <v>999.28212139315087</v>
      </c>
      <c r="M28">
        <v>4276.8503162053858</v>
      </c>
      <c r="N28">
        <v>21744.723676648864</v>
      </c>
      <c r="O28">
        <v>6321.3990824259499</v>
      </c>
      <c r="P28">
        <v>10157.696345552051</v>
      </c>
      <c r="Q28">
        <v>3242.0285457099963</v>
      </c>
      <c r="R28">
        <v>3739.122545062065</v>
      </c>
      <c r="S28">
        <v>140.34719016393765</v>
      </c>
      <c r="T28">
        <v>1717.3445474621467</v>
      </c>
      <c r="U28">
        <v>1990.1531283974684</v>
      </c>
      <c r="V28">
        <v>5347.7852276800131</v>
      </c>
      <c r="W28">
        <v>19652.706814806836</v>
      </c>
      <c r="X28">
        <v>121096.876204207</v>
      </c>
      <c r="Y28">
        <v>649760.98039707728</v>
      </c>
      <c r="Z28">
        <v>485079.54317006725</v>
      </c>
      <c r="AA28">
        <v>166478.79572708785</v>
      </c>
      <c r="AB28">
        <v>15943.502451252207</v>
      </c>
      <c r="AC28">
        <v>161159.27610817901</v>
      </c>
      <c r="AD28">
        <v>40241.095272839353</v>
      </c>
      <c r="AE28">
        <v>109496.59835748728</v>
      </c>
      <c r="AF28">
        <v>166041.42068348307</v>
      </c>
      <c r="AG28">
        <v>91538.416248183101</v>
      </c>
      <c r="AH28">
        <v>61116.714867360875</v>
      </c>
      <c r="AI28">
        <v>13324.720429279503</v>
      </c>
      <c r="AJ28">
        <v>1323011.8790789412</v>
      </c>
      <c r="AK28">
        <v>26650.085452006657</v>
      </c>
      <c r="AL28">
        <v>85410.502331528653</v>
      </c>
      <c r="AM28">
        <v>1437228.2993476989</v>
      </c>
      <c r="AN28">
        <v>1121731.4245987451</v>
      </c>
    </row>
    <row r="29" spans="1:40" x14ac:dyDescent="0.25">
      <c r="A29" s="1">
        <f t="shared" si="0"/>
        <v>39142</v>
      </c>
      <c r="B29" s="6">
        <v>142871.04049365164</v>
      </c>
      <c r="C29" s="6">
        <v>-34873.689488242482</v>
      </c>
      <c r="D29" s="6">
        <v>372604.02261267597</v>
      </c>
      <c r="E29" s="6">
        <v>370164.13076129631</v>
      </c>
      <c r="F29" s="6">
        <v>2438.4516942472546</v>
      </c>
      <c r="G29" s="6">
        <v>102822.57103877983</v>
      </c>
      <c r="H29" s="6">
        <v>83674.778840854691</v>
      </c>
      <c r="I29" s="6">
        <v>53354.691268680406</v>
      </c>
      <c r="J29">
        <v>30579.963311049538</v>
      </c>
      <c r="K29">
        <v>15516.780933369153</v>
      </c>
      <c r="L29">
        <v>1332.8021111956525</v>
      </c>
      <c r="M29">
        <v>4302.1524481426331</v>
      </c>
      <c r="N29">
        <v>24017.422613431059</v>
      </c>
      <c r="O29">
        <v>7038.3450736949553</v>
      </c>
      <c r="P29">
        <v>9979.3790762489152</v>
      </c>
      <c r="Q29">
        <v>3427.958878898623</v>
      </c>
      <c r="R29">
        <v>2692.4858493851639</v>
      </c>
      <c r="S29">
        <v>124.92324379259384</v>
      </c>
      <c r="T29">
        <v>1648.5541190975557</v>
      </c>
      <c r="U29">
        <v>2230.7334559264436</v>
      </c>
      <c r="V29">
        <v>4529.4345222354832</v>
      </c>
      <c r="W29">
        <v>20475.248766527478</v>
      </c>
      <c r="X29">
        <v>125017.74261764844</v>
      </c>
      <c r="Y29">
        <v>665629.43761722359</v>
      </c>
      <c r="Z29">
        <v>505805.3424640575</v>
      </c>
      <c r="AA29">
        <v>173247.76136405265</v>
      </c>
      <c r="AB29">
        <v>15085.205005088988</v>
      </c>
      <c r="AC29">
        <v>172533.43871323578</v>
      </c>
      <c r="AD29">
        <v>46656.907459833106</v>
      </c>
      <c r="AE29">
        <v>106826.37246263587</v>
      </c>
      <c r="AF29">
        <v>161538.53021804144</v>
      </c>
      <c r="AG29">
        <v>89998.431897154034</v>
      </c>
      <c r="AH29">
        <v>58137.94612794475</v>
      </c>
      <c r="AI29">
        <v>13426.125812837958</v>
      </c>
      <c r="AJ29">
        <v>1399890.1787587332</v>
      </c>
      <c r="AK29">
        <v>30353.697718631225</v>
      </c>
      <c r="AL29">
        <v>93831.660510632049</v>
      </c>
      <c r="AM29">
        <v>1526056.067988286</v>
      </c>
      <c r="AN29">
        <v>1168242.7014159772</v>
      </c>
    </row>
    <row r="30" spans="1:40" x14ac:dyDescent="0.25">
      <c r="A30" s="1">
        <f t="shared" si="0"/>
        <v>39234</v>
      </c>
      <c r="B30" s="6">
        <v>141207.72760535506</v>
      </c>
      <c r="C30" s="6">
        <v>-35513.167707302979</v>
      </c>
      <c r="D30" s="6">
        <v>379960.57612876291</v>
      </c>
      <c r="E30" s="6">
        <v>377513.05651138257</v>
      </c>
      <c r="F30" s="6">
        <v>2527.1687257725121</v>
      </c>
      <c r="G30" s="6">
        <v>108105.47707117847</v>
      </c>
      <c r="H30" s="6">
        <v>81459.605777051154</v>
      </c>
      <c r="I30" s="6">
        <v>50910.518256180767</v>
      </c>
      <c r="J30">
        <v>30866.071267083316</v>
      </c>
      <c r="K30">
        <v>11675.673515404444</v>
      </c>
      <c r="L30">
        <v>1273.3308222401972</v>
      </c>
      <c r="M30">
        <v>4303.5726984039602</v>
      </c>
      <c r="N30">
        <v>27724.397454951129</v>
      </c>
      <c r="O30">
        <v>6478.583803020585</v>
      </c>
      <c r="P30">
        <v>10249.351259669911</v>
      </c>
      <c r="Q30">
        <v>3576.5742078774047</v>
      </c>
      <c r="R30">
        <v>3299.2655530929087</v>
      </c>
      <c r="S30">
        <v>145.72479042236174</v>
      </c>
      <c r="T30">
        <v>1853.0540279936138</v>
      </c>
      <c r="U30">
        <v>2332.8887816462484</v>
      </c>
      <c r="V30">
        <v>5131.404651717623</v>
      </c>
      <c r="W30">
        <v>20958.385430882641</v>
      </c>
      <c r="X30">
        <v>123074.62622461858</v>
      </c>
      <c r="Y30">
        <v>727707.15752687107</v>
      </c>
      <c r="Z30">
        <v>519406.65175093384</v>
      </c>
      <c r="AA30">
        <v>178545.13122254782</v>
      </c>
      <c r="AB30">
        <v>15268.389675876184</v>
      </c>
      <c r="AC30">
        <v>175886.58510085323</v>
      </c>
      <c r="AD30">
        <v>47891.509984220909</v>
      </c>
      <c r="AE30">
        <v>108764.76675336194</v>
      </c>
      <c r="AF30">
        <v>208645.14375342047</v>
      </c>
      <c r="AG30">
        <v>120887.90497376776</v>
      </c>
      <c r="AH30">
        <v>74047.992338658092</v>
      </c>
      <c r="AI30">
        <v>13671.332903152432</v>
      </c>
      <c r="AJ30">
        <v>1467999.1192815572</v>
      </c>
      <c r="AK30">
        <v>29907.99898143316</v>
      </c>
      <c r="AL30">
        <v>90849.820957411765</v>
      </c>
      <c r="AM30">
        <v>1591228.9253748769</v>
      </c>
      <c r="AN30">
        <v>1226526.6920097498</v>
      </c>
    </row>
    <row r="31" spans="1:40" x14ac:dyDescent="0.25">
      <c r="A31" s="1">
        <f t="shared" si="0"/>
        <v>39326</v>
      </c>
      <c r="B31" s="6">
        <v>122725.82077497909</v>
      </c>
      <c r="C31" s="6">
        <v>-34156.46732426103</v>
      </c>
      <c r="D31" s="6">
        <v>323596.15075042372</v>
      </c>
      <c r="E31" s="6">
        <v>320669.82696212817</v>
      </c>
      <c r="F31" s="6">
        <v>2629.1796668714751</v>
      </c>
      <c r="G31" s="6">
        <v>106258.69012897699</v>
      </c>
      <c r="H31" s="6">
        <v>79977.770627396414</v>
      </c>
      <c r="I31" s="6">
        <v>50405.248410254433</v>
      </c>
      <c r="J31">
        <v>29814.955883049839</v>
      </c>
      <c r="K31">
        <v>11703.548401112434</v>
      </c>
      <c r="L31">
        <v>1054.9618640269864</v>
      </c>
      <c r="M31">
        <v>4379.4981928523839</v>
      </c>
      <c r="N31">
        <v>27033.952078988819</v>
      </c>
      <c r="O31">
        <v>6259.5764782239821</v>
      </c>
      <c r="P31">
        <v>10003.592073492213</v>
      </c>
      <c r="Q31">
        <v>3491.0000136609233</v>
      </c>
      <c r="R31">
        <v>3531.6913709354808</v>
      </c>
      <c r="S31">
        <v>157.14976320438225</v>
      </c>
      <c r="T31">
        <v>1870.6061200617071</v>
      </c>
      <c r="U31">
        <v>2200.8069096561917</v>
      </c>
      <c r="V31">
        <v>5023.3042961421233</v>
      </c>
      <c r="W31">
        <v>20580.332597469824</v>
      </c>
      <c r="X31">
        <v>121756.86252087189</v>
      </c>
      <c r="Y31">
        <v>665008.46927957295</v>
      </c>
      <c r="Z31">
        <v>513657.80486879777</v>
      </c>
      <c r="AA31">
        <v>181368.03895938766</v>
      </c>
      <c r="AB31">
        <v>17565.526303387916</v>
      </c>
      <c r="AC31">
        <v>165633.28614491821</v>
      </c>
      <c r="AD31">
        <v>46688.616543187673</v>
      </c>
      <c r="AE31">
        <v>110992.80296076722</v>
      </c>
      <c r="AF31">
        <v>155062.97755114245</v>
      </c>
      <c r="AG31">
        <v>84152.080784180449</v>
      </c>
      <c r="AH31">
        <v>57162.282547348856</v>
      </c>
      <c r="AI31">
        <v>13790.837982176237</v>
      </c>
      <c r="AJ31">
        <v>1319356.3200771748</v>
      </c>
      <c r="AK31">
        <v>30786.632524669436</v>
      </c>
      <c r="AL31">
        <v>94376.490104344266</v>
      </c>
      <c r="AM31">
        <v>1443004.3845517177</v>
      </c>
      <c r="AN31">
        <v>1126482.408294528</v>
      </c>
    </row>
    <row r="32" spans="1:40" x14ac:dyDescent="0.25">
      <c r="A32" s="1">
        <f t="shared" si="0"/>
        <v>39417</v>
      </c>
      <c r="B32" s="6">
        <v>136991.7031340962</v>
      </c>
      <c r="C32" s="6">
        <v>-30825.620331092716</v>
      </c>
      <c r="D32" s="6">
        <v>307583.89918155805</v>
      </c>
      <c r="E32" s="6">
        <v>305027.31270635338</v>
      </c>
      <c r="F32" s="6">
        <v>2506.7482438429561</v>
      </c>
      <c r="G32" s="6">
        <v>103917.04821244045</v>
      </c>
      <c r="H32" s="6">
        <v>81774.839187148347</v>
      </c>
      <c r="I32" s="6">
        <v>49718.724869109232</v>
      </c>
      <c r="J32">
        <v>32752.173909193767</v>
      </c>
      <c r="K32">
        <v>10228.481118805734</v>
      </c>
      <c r="L32">
        <v>1107.2045905036109</v>
      </c>
      <c r="M32">
        <v>4503.5233829642711</v>
      </c>
      <c r="N32">
        <v>23940.940767990396</v>
      </c>
      <c r="O32">
        <v>6353.0060778380794</v>
      </c>
      <c r="P32">
        <v>10076.434774787635</v>
      </c>
      <c r="Q32">
        <v>3413.8560586326257</v>
      </c>
      <c r="R32">
        <v>4053.2088388472794</v>
      </c>
      <c r="S32">
        <v>157.3292001737741</v>
      </c>
      <c r="T32">
        <v>2211.9397771312451</v>
      </c>
      <c r="U32">
        <v>2254.8434944743317</v>
      </c>
      <c r="V32">
        <v>5032.2658992468923</v>
      </c>
      <c r="W32">
        <v>21283.881480435804</v>
      </c>
      <c r="X32">
        <v>122792.2324710659</v>
      </c>
      <c r="Y32">
        <v>682886.7964540791</v>
      </c>
      <c r="Z32">
        <v>517870.45289277809</v>
      </c>
      <c r="AA32">
        <v>181295.40854679866</v>
      </c>
      <c r="AB32">
        <v>17920.496755207481</v>
      </c>
      <c r="AC32">
        <v>169700.71774191249</v>
      </c>
      <c r="AD32">
        <v>43017.730846665261</v>
      </c>
      <c r="AE32">
        <v>115080.92487371912</v>
      </c>
      <c r="AF32">
        <v>168013.16236895675</v>
      </c>
      <c r="AG32">
        <v>91996.108329424009</v>
      </c>
      <c r="AH32">
        <v>62094.582305238648</v>
      </c>
      <c r="AI32">
        <v>13977.631730314199</v>
      </c>
      <c r="AJ32">
        <v>1342857.057265125</v>
      </c>
      <c r="AK32">
        <v>25903.883059350464</v>
      </c>
      <c r="AL32">
        <v>87972.817401474502</v>
      </c>
      <c r="AM32">
        <v>1458786.7238379144</v>
      </c>
      <c r="AN32">
        <v>1170212.3305747816</v>
      </c>
    </row>
    <row r="33" spans="1:40" x14ac:dyDescent="0.25">
      <c r="A33" s="1">
        <f t="shared" si="0"/>
        <v>39508</v>
      </c>
      <c r="B33" s="6">
        <v>133012.93869958969</v>
      </c>
      <c r="C33" s="6">
        <v>-37000.984547025269</v>
      </c>
      <c r="D33" s="6">
        <v>381919.12317799288</v>
      </c>
      <c r="E33" s="6">
        <v>379418.23403032869</v>
      </c>
      <c r="F33" s="6">
        <v>2448.2055010242439</v>
      </c>
      <c r="G33" s="6">
        <v>113927.40871096805</v>
      </c>
      <c r="H33" s="6">
        <v>89132.310636722803</v>
      </c>
      <c r="I33" s="6">
        <v>56840.8070787666</v>
      </c>
      <c r="J33">
        <v>32567.660926267756</v>
      </c>
      <c r="K33">
        <v>17285.693959773238</v>
      </c>
      <c r="L33">
        <v>1548.716053209348</v>
      </c>
      <c r="M33">
        <v>4530.1665278941937</v>
      </c>
      <c r="N33">
        <v>28436.628374302374</v>
      </c>
      <c r="O33">
        <v>7333.9555667901441</v>
      </c>
      <c r="P33">
        <v>10428.451134680117</v>
      </c>
      <c r="Q33">
        <v>3589.0729462068584</v>
      </c>
      <c r="R33">
        <v>3010.199179612614</v>
      </c>
      <c r="S33">
        <v>135.54171951496429</v>
      </c>
      <c r="T33">
        <v>2067.2868653483347</v>
      </c>
      <c r="U33">
        <v>2402.4999320327797</v>
      </c>
      <c r="V33">
        <v>4176.1386295011162</v>
      </c>
      <c r="W33">
        <v>21826.615185118288</v>
      </c>
      <c r="X33">
        <v>109265.50704782477</v>
      </c>
      <c r="Y33">
        <v>703010.042368858</v>
      </c>
      <c r="Z33">
        <v>539902.89184846799</v>
      </c>
      <c r="AA33">
        <v>190572.53750045795</v>
      </c>
      <c r="AB33">
        <v>16503.214275567356</v>
      </c>
      <c r="AC33">
        <v>179779.84313919165</v>
      </c>
      <c r="AD33">
        <v>50342.803149159918</v>
      </c>
      <c r="AE33">
        <v>113556.43392778191</v>
      </c>
      <c r="AF33">
        <v>165035.56905880824</v>
      </c>
      <c r="AG33">
        <v>91348.40837561134</v>
      </c>
      <c r="AH33">
        <v>59533.256835015425</v>
      </c>
      <c r="AI33">
        <v>14218.267235795398</v>
      </c>
      <c r="AJ33">
        <v>1434887.4332277016</v>
      </c>
      <c r="AK33">
        <v>31264.308650190156</v>
      </c>
      <c r="AL33">
        <v>96552.77866544039</v>
      </c>
      <c r="AM33">
        <v>1564207.4696879929</v>
      </c>
      <c r="AN33">
        <v>1197498.1221809876</v>
      </c>
    </row>
    <row r="34" spans="1:40" x14ac:dyDescent="0.25">
      <c r="A34" s="1">
        <f t="shared" si="0"/>
        <v>39600</v>
      </c>
      <c r="B34" s="6">
        <v>130758.35576255877</v>
      </c>
      <c r="C34" s="6">
        <v>-37395.365595790034</v>
      </c>
      <c r="D34" s="6">
        <v>359062.7444416809</v>
      </c>
      <c r="E34" s="6">
        <v>356372.32534674514</v>
      </c>
      <c r="F34" s="6">
        <v>2602.9837875456874</v>
      </c>
      <c r="G34" s="6">
        <v>124537.50958599758</v>
      </c>
      <c r="H34" s="6">
        <v>86654.034947464563</v>
      </c>
      <c r="I34" s="6">
        <v>53916.20348961102</v>
      </c>
      <c r="J34">
        <v>33119.294469580396</v>
      </c>
      <c r="K34">
        <v>13356.970501622687</v>
      </c>
      <c r="L34">
        <v>1525.450325043756</v>
      </c>
      <c r="M34">
        <v>4540.2691968161771</v>
      </c>
      <c r="N34">
        <v>34655.496818688909</v>
      </c>
      <c r="O34">
        <v>6945.041836838067</v>
      </c>
      <c r="P34">
        <v>10362.094123526282</v>
      </c>
      <c r="Q34">
        <v>3719.6371761925016</v>
      </c>
      <c r="R34">
        <v>3724.8708094418953</v>
      </c>
      <c r="S34">
        <v>146.74486395531824</v>
      </c>
      <c r="T34">
        <v>2027.2411066250136</v>
      </c>
      <c r="U34">
        <v>2358.5505582443566</v>
      </c>
      <c r="V34">
        <v>4561.8187353769672</v>
      </c>
      <c r="W34">
        <v>22802.723348800315</v>
      </c>
      <c r="X34">
        <v>128982.20828340026</v>
      </c>
      <c r="Y34">
        <v>773115.22218101379</v>
      </c>
      <c r="Z34">
        <v>557454.55773718352</v>
      </c>
      <c r="AA34">
        <v>197649.46026336044</v>
      </c>
      <c r="AB34">
        <v>18520.556676837816</v>
      </c>
      <c r="AC34">
        <v>182746.16191978648</v>
      </c>
      <c r="AD34">
        <v>51483.373233037477</v>
      </c>
      <c r="AE34">
        <v>116269.53565934389</v>
      </c>
      <c r="AF34">
        <v>215862.95983042242</v>
      </c>
      <c r="AG34">
        <v>124635.43002795454</v>
      </c>
      <c r="AH34">
        <v>76639.672070511137</v>
      </c>
      <c r="AI34">
        <v>14559.969541857339</v>
      </c>
      <c r="AJ34">
        <v>1495891.1025479066</v>
      </c>
      <c r="AK34">
        <v>33078.246873465076</v>
      </c>
      <c r="AL34">
        <v>96119.110572941645</v>
      </c>
      <c r="AM34">
        <v>1626235.9617331245</v>
      </c>
      <c r="AN34">
        <v>1299418.285512455</v>
      </c>
    </row>
    <row r="35" spans="1:40" x14ac:dyDescent="0.25">
      <c r="A35" s="1">
        <f t="shared" si="0"/>
        <v>39692</v>
      </c>
      <c r="B35" s="6">
        <v>117571.33630242998</v>
      </c>
      <c r="C35" s="6">
        <v>-36171.69889639243</v>
      </c>
      <c r="D35" s="6">
        <v>312270.28547415894</v>
      </c>
      <c r="E35" s="6">
        <v>309446.38301845366</v>
      </c>
      <c r="F35" s="6">
        <v>2684.3924398757758</v>
      </c>
      <c r="G35" s="6">
        <v>119541.02639509911</v>
      </c>
      <c r="H35" s="6">
        <v>84904.305730666281</v>
      </c>
      <c r="I35" s="6">
        <v>53970.769884645095</v>
      </c>
      <c r="J35">
        <v>31126.813941904038</v>
      </c>
      <c r="K35">
        <v>13201.602596454824</v>
      </c>
      <c r="L35">
        <v>1270.1740842884919</v>
      </c>
      <c r="M35">
        <v>4589.714106109298</v>
      </c>
      <c r="N35">
        <v>31981.165309443775</v>
      </c>
      <c r="O35">
        <v>6847.9766671770376</v>
      </c>
      <c r="P35">
        <v>10883.908175959528</v>
      </c>
      <c r="Q35">
        <v>3585.2570140297671</v>
      </c>
      <c r="R35">
        <v>3821.2900633521899</v>
      </c>
      <c r="S35">
        <v>160.29275846846991</v>
      </c>
      <c r="T35">
        <v>2151.1970380709627</v>
      </c>
      <c r="U35">
        <v>2304.244834410033</v>
      </c>
      <c r="V35">
        <v>4425.5310849012112</v>
      </c>
      <c r="W35">
        <v>22494.303529034514</v>
      </c>
      <c r="X35">
        <v>129671.05858472857</v>
      </c>
      <c r="Y35">
        <v>709846.1213152908</v>
      </c>
      <c r="Z35">
        <v>551969.39656692219</v>
      </c>
      <c r="AA35">
        <v>200230.31501116403</v>
      </c>
      <c r="AB35">
        <v>21043.500511458718</v>
      </c>
      <c r="AC35">
        <v>172424.25087685982</v>
      </c>
      <c r="AD35">
        <v>50283.640017013131</v>
      </c>
      <c r="AE35">
        <v>118429.32075913863</v>
      </c>
      <c r="AF35">
        <v>162610.5032630983</v>
      </c>
      <c r="AG35">
        <v>88107.228581036936</v>
      </c>
      <c r="AH35">
        <v>59906.072109621608</v>
      </c>
      <c r="AI35">
        <v>14714.824126982046</v>
      </c>
      <c r="AJ35">
        <v>1360256.3659995671</v>
      </c>
      <c r="AK35">
        <v>31556.298337786171</v>
      </c>
      <c r="AL35">
        <v>98812.185139248439</v>
      </c>
      <c r="AM35">
        <v>1487737.5204728211</v>
      </c>
      <c r="AN35">
        <v>1196634.3749421271</v>
      </c>
    </row>
    <row r="36" spans="1:40" x14ac:dyDescent="0.25">
      <c r="A36" s="1">
        <f t="shared" si="0"/>
        <v>39783</v>
      </c>
      <c r="B36" s="6">
        <v>143841.28829080102</v>
      </c>
      <c r="C36" s="6">
        <v>-33075.890615262484</v>
      </c>
      <c r="D36" s="6">
        <v>278978.59655767318</v>
      </c>
      <c r="E36" s="6">
        <v>276659.77262466255</v>
      </c>
      <c r="F36" s="6">
        <v>2594.4844323774587</v>
      </c>
      <c r="G36" s="6">
        <v>102358.29248925383</v>
      </c>
      <c r="H36" s="6">
        <v>86971.211848467894</v>
      </c>
      <c r="I36" s="6">
        <v>53800.443909190268</v>
      </c>
      <c r="J36">
        <v>33701.986952560379</v>
      </c>
      <c r="K36">
        <v>11384.299485230782</v>
      </c>
      <c r="L36">
        <v>1256.6772102215984</v>
      </c>
      <c r="M36">
        <v>4719.6925053465566</v>
      </c>
      <c r="N36">
        <v>21690.492335799303</v>
      </c>
      <c r="O36">
        <v>7039.1307342445925</v>
      </c>
      <c r="P36">
        <v>10892.625991545432</v>
      </c>
      <c r="Q36">
        <v>3577.7211494469925</v>
      </c>
      <c r="R36">
        <v>4661.1901646743718</v>
      </c>
      <c r="S36">
        <v>152.45199496838711</v>
      </c>
      <c r="T36">
        <v>2256.1785726738699</v>
      </c>
      <c r="U36">
        <v>2351.8017647367278</v>
      </c>
      <c r="V36">
        <v>5092.6530900378548</v>
      </c>
      <c r="W36">
        <v>22518.346606301086</v>
      </c>
      <c r="X36">
        <v>153735.87505377451</v>
      </c>
      <c r="Y36">
        <v>728197.36374540057</v>
      </c>
      <c r="Z36">
        <v>553503.94777995429</v>
      </c>
      <c r="AA36">
        <v>202325.67593822733</v>
      </c>
      <c r="AB36">
        <v>19443.738979400114</v>
      </c>
      <c r="AC36">
        <v>174282.6371209441</v>
      </c>
      <c r="AD36">
        <v>46459.149314398477</v>
      </c>
      <c r="AE36">
        <v>121755.61851639484</v>
      </c>
      <c r="AF36">
        <v>178147.46205550947</v>
      </c>
      <c r="AG36">
        <v>97515.874829189459</v>
      </c>
      <c r="AH36">
        <v>65820.257243552973</v>
      </c>
      <c r="AI36">
        <v>14886.177792784621</v>
      </c>
      <c r="AJ36">
        <v>1365685.6272386319</v>
      </c>
      <c r="AK36">
        <v>29711.75386907499</v>
      </c>
      <c r="AL36">
        <v>92547.403906351174</v>
      </c>
      <c r="AM36">
        <v>1487962.4583146726</v>
      </c>
      <c r="AN36">
        <v>1265284.7979933694</v>
      </c>
    </row>
    <row r="37" spans="1:40" x14ac:dyDescent="0.25">
      <c r="A37" s="1">
        <f t="shared" si="0"/>
        <v>39873</v>
      </c>
      <c r="B37" s="6">
        <v>157088.28060421546</v>
      </c>
      <c r="C37" s="6">
        <v>-40405.075125351592</v>
      </c>
      <c r="D37" s="6">
        <v>334179.23278074374</v>
      </c>
      <c r="E37" s="6">
        <v>331611.53654250724</v>
      </c>
      <c r="F37" s="6">
        <v>2558.3747485703343</v>
      </c>
      <c r="G37" s="6">
        <v>110965.29608448288</v>
      </c>
      <c r="H37" s="6">
        <v>93502.919567334466</v>
      </c>
      <c r="I37" s="6">
        <v>59716.977204348463</v>
      </c>
      <c r="J37">
        <v>34065.773328876079</v>
      </c>
      <c r="K37">
        <v>17942.550330244623</v>
      </c>
      <c r="L37">
        <v>1649.3825966679558</v>
      </c>
      <c r="M37">
        <v>4779.3256869283741</v>
      </c>
      <c r="N37">
        <v>26019.514962486672</v>
      </c>
      <c r="O37">
        <v>8170.0265014042197</v>
      </c>
      <c r="P37">
        <v>11408.725541340049</v>
      </c>
      <c r="Q37">
        <v>3685.9779157544422</v>
      </c>
      <c r="R37">
        <v>3001.1685820737762</v>
      </c>
      <c r="S37">
        <v>132.69534340515003</v>
      </c>
      <c r="T37">
        <v>2028.0084149067161</v>
      </c>
      <c r="U37">
        <v>2618.7249259157297</v>
      </c>
      <c r="V37">
        <v>3996.5646684325684</v>
      </c>
      <c r="W37">
        <v>23747.357321408701</v>
      </c>
      <c r="X37">
        <v>155484.8165290546</v>
      </c>
      <c r="Y37">
        <v>752070.22159441281</v>
      </c>
      <c r="Z37">
        <v>576372.97403030621</v>
      </c>
      <c r="AA37">
        <v>213631.81453801339</v>
      </c>
      <c r="AB37">
        <v>18599.122488564411</v>
      </c>
      <c r="AC37">
        <v>186251.9174922026</v>
      </c>
      <c r="AD37">
        <v>54571.598613689355</v>
      </c>
      <c r="AE37">
        <v>118212.24771882096</v>
      </c>
      <c r="AF37">
        <v>177588.60100684286</v>
      </c>
      <c r="AG37">
        <v>98473.584228909021</v>
      </c>
      <c r="AH37">
        <v>64057.784354476607</v>
      </c>
      <c r="AI37">
        <v>15071.363269943124</v>
      </c>
      <c r="AJ37">
        <v>1465020.0693254829</v>
      </c>
      <c r="AK37">
        <v>35359.933083365067</v>
      </c>
      <c r="AL37">
        <v>105628.73985999179</v>
      </c>
      <c r="AM37">
        <v>1604876.8638998808</v>
      </c>
      <c r="AN37">
        <v>1335166.8918928916</v>
      </c>
    </row>
    <row r="38" spans="1:40" x14ac:dyDescent="0.25">
      <c r="A38" s="1">
        <f t="shared" si="0"/>
        <v>39965</v>
      </c>
      <c r="B38" s="6">
        <v>165278.56168387429</v>
      </c>
      <c r="C38" s="6">
        <v>-41134.90215536904</v>
      </c>
      <c r="D38" s="6">
        <v>306639.58375319547</v>
      </c>
      <c r="E38" s="6">
        <v>304341.96584612032</v>
      </c>
      <c r="F38" s="6">
        <v>2634.2195929962354</v>
      </c>
      <c r="G38" s="6">
        <v>124412.97207641158</v>
      </c>
      <c r="H38" s="6">
        <v>89641.948810099828</v>
      </c>
      <c r="I38" s="6">
        <v>56271.993686442467</v>
      </c>
      <c r="J38">
        <v>33682.322475563255</v>
      </c>
      <c r="K38">
        <v>13156.615944098348</v>
      </c>
      <c r="L38">
        <v>1530.026676018887</v>
      </c>
      <c r="M38">
        <v>4808.1450794283319</v>
      </c>
      <c r="N38">
        <v>33546.520920490875</v>
      </c>
      <c r="O38">
        <v>7708.9964388902554</v>
      </c>
      <c r="P38">
        <v>10838.750453208491</v>
      </c>
      <c r="Q38">
        <v>3842.3852030068529</v>
      </c>
      <c r="R38">
        <v>3784.4687423929654</v>
      </c>
      <c r="S38">
        <v>146.15788449949699</v>
      </c>
      <c r="T38">
        <v>2173.2024663020147</v>
      </c>
      <c r="U38">
        <v>2752.4285014711641</v>
      </c>
      <c r="V38">
        <v>4780.7860346750622</v>
      </c>
      <c r="W38">
        <v>25060.192960331544</v>
      </c>
      <c r="X38">
        <v>152585.95239926252</v>
      </c>
      <c r="Y38">
        <v>824473.95633599733</v>
      </c>
      <c r="Z38">
        <v>591272.60534469504</v>
      </c>
      <c r="AA38">
        <v>220379.14819364686</v>
      </c>
      <c r="AB38">
        <v>19742.913417509113</v>
      </c>
      <c r="AC38">
        <v>188776.78526313941</v>
      </c>
      <c r="AD38">
        <v>55756.493211379588</v>
      </c>
      <c r="AE38">
        <v>119990.16080044287</v>
      </c>
      <c r="AF38">
        <v>232863.63279372978</v>
      </c>
      <c r="AG38">
        <v>134606.26443019093</v>
      </c>
      <c r="AH38">
        <v>82770.845836152017</v>
      </c>
      <c r="AI38">
        <v>15360.767866659489</v>
      </c>
      <c r="AJ38">
        <v>1503370.5580606461</v>
      </c>
      <c r="AK38">
        <v>36055.289092076928</v>
      </c>
      <c r="AL38">
        <v>102559.09098132873</v>
      </c>
      <c r="AM38">
        <v>1640872.0853887226</v>
      </c>
      <c r="AN38">
        <v>1422276.0020807004</v>
      </c>
    </row>
    <row r="39" spans="1:40" x14ac:dyDescent="0.25">
      <c r="A39" s="1">
        <f t="shared" si="0"/>
        <v>40057</v>
      </c>
      <c r="B39" s="6">
        <v>149903.45378559822</v>
      </c>
      <c r="C39" s="6">
        <v>-39716.525388238893</v>
      </c>
      <c r="D39" s="6">
        <v>278232.82435747562</v>
      </c>
      <c r="E39" s="6">
        <v>275716.72726944223</v>
      </c>
      <c r="F39" s="6">
        <v>2799.8213147904339</v>
      </c>
      <c r="G39" s="6">
        <v>117986.99305196283</v>
      </c>
      <c r="H39" s="6">
        <v>88793.126977493666</v>
      </c>
      <c r="I39" s="6">
        <v>56548.753528587768</v>
      </c>
      <c r="J39">
        <v>32434.140127464008</v>
      </c>
      <c r="K39">
        <v>13082.788173086728</v>
      </c>
      <c r="L39">
        <v>1244.7706026027217</v>
      </c>
      <c r="M39">
        <v>4906.40437943084</v>
      </c>
      <c r="N39">
        <v>29934.370729639373</v>
      </c>
      <c r="O39">
        <v>7525.926357227564</v>
      </c>
      <c r="P39">
        <v>11526.05875834114</v>
      </c>
      <c r="Q39">
        <v>3739.4230656330469</v>
      </c>
      <c r="R39">
        <v>3997.0694062663915</v>
      </c>
      <c r="S39">
        <v>136.40913745666791</v>
      </c>
      <c r="T39">
        <v>2002.7644424440666</v>
      </c>
      <c r="U39">
        <v>2679.8367424188687</v>
      </c>
      <c r="V39">
        <v>4881.3607866460352</v>
      </c>
      <c r="W39">
        <v>24586.273757234721</v>
      </c>
      <c r="X39">
        <v>126947.96635444928</v>
      </c>
      <c r="Y39">
        <v>752667.66049938509</v>
      </c>
      <c r="Z39">
        <v>581725.5837014654</v>
      </c>
      <c r="AA39">
        <v>220453.5768272916</v>
      </c>
      <c r="AB39">
        <v>20896.196007878509</v>
      </c>
      <c r="AC39">
        <v>177941.82690491932</v>
      </c>
      <c r="AD39">
        <v>54356.614858391185</v>
      </c>
      <c r="AE39">
        <v>121982.2003819128</v>
      </c>
      <c r="AF39">
        <v>174597.51069845422</v>
      </c>
      <c r="AG39">
        <v>94627.163496033667</v>
      </c>
      <c r="AH39">
        <v>64518.839662062463</v>
      </c>
      <c r="AI39">
        <v>15391.706036823223</v>
      </c>
      <c r="AJ39">
        <v>1357535.8532675679</v>
      </c>
      <c r="AK39">
        <v>34080.802204809064</v>
      </c>
      <c r="AL39">
        <v>103456.35784079311</v>
      </c>
      <c r="AM39">
        <v>1490712.9955137668</v>
      </c>
      <c r="AN39">
        <v>1269873.8543018352</v>
      </c>
    </row>
    <row r="40" spans="1:40" x14ac:dyDescent="0.25">
      <c r="A40" s="1">
        <f t="shared" si="0"/>
        <v>40148</v>
      </c>
      <c r="B40" s="6">
        <v>175486.37171477725</v>
      </c>
      <c r="C40" s="6">
        <v>-35854.265426944534</v>
      </c>
      <c r="D40" s="6">
        <v>260287.03058830911</v>
      </c>
      <c r="E40" s="6">
        <v>257846.90808618549</v>
      </c>
      <c r="F40" s="6">
        <v>2799.4487025352773</v>
      </c>
      <c r="G40" s="6">
        <v>121908.72635470133</v>
      </c>
      <c r="H40" s="6">
        <v>92959.964716430171</v>
      </c>
      <c r="I40" s="6">
        <v>57929.264161298728</v>
      </c>
      <c r="J40">
        <v>35488.192261046075</v>
      </c>
      <c r="K40">
        <v>11680.291271846781</v>
      </c>
      <c r="L40">
        <v>1244.1104381193825</v>
      </c>
      <c r="M40">
        <v>5031.1922106994298</v>
      </c>
      <c r="N40">
        <v>28132.568559531694</v>
      </c>
      <c r="O40">
        <v>7602.2611929841605</v>
      </c>
      <c r="P40">
        <v>12297.774744454795</v>
      </c>
      <c r="Q40">
        <v>3785.2289761149173</v>
      </c>
      <c r="R40">
        <v>4936.2003843901593</v>
      </c>
      <c r="S40">
        <v>156.26329484259679</v>
      </c>
      <c r="T40">
        <v>2447.9537513511486</v>
      </c>
      <c r="U40">
        <v>2808.0513070956522</v>
      </c>
      <c r="V40">
        <v>5617.196358311754</v>
      </c>
      <c r="W40">
        <v>24387.369374624071</v>
      </c>
      <c r="X40">
        <v>127600.7762946328</v>
      </c>
      <c r="Y40">
        <v>770978.89187743678</v>
      </c>
      <c r="Z40">
        <v>584210.98303863511</v>
      </c>
      <c r="AA40">
        <v>221344.28947642067</v>
      </c>
      <c r="AB40">
        <v>19949.276192864512</v>
      </c>
      <c r="AC40">
        <v>179685.39887169332</v>
      </c>
      <c r="AD40">
        <v>50036.503811607166</v>
      </c>
      <c r="AE40">
        <v>126138.82078298504</v>
      </c>
      <c r="AF40">
        <v>189797.78954050172</v>
      </c>
      <c r="AG40">
        <v>103854.40669308677</v>
      </c>
      <c r="AH40">
        <v>70361.854993358123</v>
      </c>
      <c r="AI40">
        <v>15541.169615667144</v>
      </c>
      <c r="AJ40">
        <v>1383439.5403927341</v>
      </c>
      <c r="AK40">
        <v>25047.008511630214</v>
      </c>
      <c r="AL40">
        <v>93010.140925882952</v>
      </c>
      <c r="AM40">
        <v>1502842.0828978193</v>
      </c>
      <c r="AN40">
        <v>1316046.8122146158</v>
      </c>
    </row>
    <row r="41" spans="1:40" x14ac:dyDescent="0.25">
      <c r="A41" s="1">
        <f t="shared" si="0"/>
        <v>40238</v>
      </c>
      <c r="B41" s="6">
        <v>176410.13911853396</v>
      </c>
      <c r="C41" s="6">
        <v>-42910.189783123402</v>
      </c>
      <c r="D41" s="6">
        <v>317804.45037448732</v>
      </c>
      <c r="E41" s="6">
        <v>315030.95971538185</v>
      </c>
      <c r="F41" s="6">
        <v>2875.6132173930564</v>
      </c>
      <c r="G41" s="6">
        <v>136931.17536825186</v>
      </c>
      <c r="H41" s="6">
        <v>101971.08189494957</v>
      </c>
      <c r="I41" s="6">
        <v>66013.726625171301</v>
      </c>
      <c r="J41">
        <v>36245.982821924154</v>
      </c>
      <c r="K41">
        <v>19593.264960627133</v>
      </c>
      <c r="L41">
        <v>1675.772718214643</v>
      </c>
      <c r="M41">
        <v>5089.9818565787182</v>
      </c>
      <c r="N41">
        <v>35802.852588381655</v>
      </c>
      <c r="O41">
        <v>8611.207932480047</v>
      </c>
      <c r="P41">
        <v>12013.387995031071</v>
      </c>
      <c r="Q41">
        <v>3980.8561490147986</v>
      </c>
      <c r="R41">
        <v>3706.4431988611132</v>
      </c>
      <c r="S41">
        <v>148.35339392695775</v>
      </c>
      <c r="T41">
        <v>2496.4783587501679</v>
      </c>
      <c r="U41">
        <v>3147.7073609507074</v>
      </c>
      <c r="V41">
        <v>5003.6989648775752</v>
      </c>
      <c r="W41">
        <v>25409.672333907311</v>
      </c>
      <c r="X41">
        <v>148487.9997852472</v>
      </c>
      <c r="Y41">
        <v>796926.24466659117</v>
      </c>
      <c r="Z41">
        <v>610634.82299803058</v>
      </c>
      <c r="AA41">
        <v>231790.51877374449</v>
      </c>
      <c r="AB41">
        <v>19696.470715389711</v>
      </c>
      <c r="AC41">
        <v>193329.49035690629</v>
      </c>
      <c r="AD41">
        <v>58446.182115261283</v>
      </c>
      <c r="AE41">
        <v>124359.28460019965</v>
      </c>
      <c r="AF41">
        <v>188266.36692860961</v>
      </c>
      <c r="AG41">
        <v>104480.47286687244</v>
      </c>
      <c r="AH41">
        <v>67901.25141574521</v>
      </c>
      <c r="AI41">
        <v>15855.074159980166</v>
      </c>
      <c r="AJ41">
        <v>1513365.7316132237</v>
      </c>
      <c r="AK41">
        <v>34652.734421697773</v>
      </c>
      <c r="AL41">
        <v>108480.71583621159</v>
      </c>
      <c r="AM41">
        <v>1656232.923544677</v>
      </c>
      <c r="AN41">
        <v>1411093.210028989</v>
      </c>
    </row>
    <row r="42" spans="1:40" x14ac:dyDescent="0.25">
      <c r="A42" s="1">
        <f t="shared" si="0"/>
        <v>40330</v>
      </c>
      <c r="B42" s="6">
        <v>174368.88257648741</v>
      </c>
      <c r="C42" s="6">
        <v>-43273.917067448238</v>
      </c>
      <c r="D42" s="6">
        <v>297747.03582435276</v>
      </c>
      <c r="E42" s="6">
        <v>295211.70687073673</v>
      </c>
      <c r="F42" s="6">
        <v>3089.9395825845845</v>
      </c>
      <c r="G42" s="6">
        <v>155391.80212343807</v>
      </c>
      <c r="H42" s="6">
        <v>102017.8211228829</v>
      </c>
      <c r="I42" s="6">
        <v>65184.097887872573</v>
      </c>
      <c r="J42">
        <v>37050.554723119589</v>
      </c>
      <c r="K42">
        <v>15314.30095893048</v>
      </c>
      <c r="L42">
        <v>1597.3478497637184</v>
      </c>
      <c r="M42">
        <v>5058.1686235586058</v>
      </c>
      <c r="N42">
        <v>47334.141018812625</v>
      </c>
      <c r="O42">
        <v>8001.9383035680848</v>
      </c>
      <c r="P42">
        <v>13526.760565604198</v>
      </c>
      <c r="Q42">
        <v>4218.9389529015252</v>
      </c>
      <c r="R42">
        <v>4768.4306154151363</v>
      </c>
      <c r="S42">
        <v>171.58935640240944</v>
      </c>
      <c r="T42">
        <v>2649.1338064221559</v>
      </c>
      <c r="U42">
        <v>3291.904487759512</v>
      </c>
      <c r="V42">
        <v>5889.9283947196764</v>
      </c>
      <c r="W42">
        <v>26413.443380189445</v>
      </c>
      <c r="X42">
        <v>167997.13359158803</v>
      </c>
      <c r="Y42">
        <v>871029.2635563903</v>
      </c>
      <c r="Z42">
        <v>626339.14793934755</v>
      </c>
      <c r="AA42">
        <v>238229.85919733223</v>
      </c>
      <c r="AB42">
        <v>21480.289798249916</v>
      </c>
      <c r="AC42">
        <v>194817.6423915599</v>
      </c>
      <c r="AD42">
        <v>59603.691242964771</v>
      </c>
      <c r="AE42">
        <v>127189.57044846943</v>
      </c>
      <c r="AF42">
        <v>244632.84619220957</v>
      </c>
      <c r="AG42">
        <v>141605.79018056081</v>
      </c>
      <c r="AH42">
        <v>86743.846436287306</v>
      </c>
      <c r="AI42">
        <v>16159.527795725782</v>
      </c>
      <c r="AJ42">
        <v>1593572.7915442847</v>
      </c>
      <c r="AK42">
        <v>34108.303481104769</v>
      </c>
      <c r="AL42">
        <v>105020.50916488061</v>
      </c>
      <c r="AM42">
        <v>1732760.9221704912</v>
      </c>
      <c r="AN42">
        <v>1533777.700650664</v>
      </c>
    </row>
    <row r="43" spans="1:40" x14ac:dyDescent="0.25">
      <c r="A43" s="1">
        <f t="shared" si="0"/>
        <v>40422</v>
      </c>
      <c r="B43" s="6">
        <v>156049.49539080772</v>
      </c>
      <c r="C43" s="6">
        <v>-41742.068183039075</v>
      </c>
      <c r="D43" s="6">
        <v>246514.28238072337</v>
      </c>
      <c r="E43" s="6">
        <v>243733.58690618689</v>
      </c>
      <c r="F43" s="6">
        <v>3230.9937972681601</v>
      </c>
      <c r="G43" s="6">
        <v>151141.3380995644</v>
      </c>
      <c r="H43" s="6">
        <v>100142.94743036691</v>
      </c>
      <c r="I43" s="6">
        <v>64771.595997540135</v>
      </c>
      <c r="J43">
        <v>35547.817579700561</v>
      </c>
      <c r="K43">
        <v>15529.26956145395</v>
      </c>
      <c r="L43">
        <v>1328.170232977104</v>
      </c>
      <c r="M43">
        <v>5078.128532710919</v>
      </c>
      <c r="N43">
        <v>44901.556094459054</v>
      </c>
      <c r="O43">
        <v>7766.7560006588492</v>
      </c>
      <c r="P43">
        <v>12782.399163000324</v>
      </c>
      <c r="Q43">
        <v>4161.9778720495824</v>
      </c>
      <c r="R43">
        <v>5204.1843669588425</v>
      </c>
      <c r="S43">
        <v>166.82837510950486</v>
      </c>
      <c r="T43">
        <v>2671.6877662203851</v>
      </c>
      <c r="U43">
        <v>3167.5670295391024</v>
      </c>
      <c r="V43">
        <v>6111.4637048808372</v>
      </c>
      <c r="W43">
        <v>26061.450182668807</v>
      </c>
      <c r="X43">
        <v>157034.63438045376</v>
      </c>
      <c r="Y43">
        <v>799085.33192338061</v>
      </c>
      <c r="Z43">
        <v>619800.40519097447</v>
      </c>
      <c r="AA43">
        <v>239192.1308576114</v>
      </c>
      <c r="AB43">
        <v>23382.843332816057</v>
      </c>
      <c r="AC43">
        <v>184525.67450040128</v>
      </c>
      <c r="AD43">
        <v>58107.221283620187</v>
      </c>
      <c r="AE43">
        <v>129911.0434067371</v>
      </c>
      <c r="AF43">
        <v>183959.83958305343</v>
      </c>
      <c r="AG43">
        <v>100304.7933057957</v>
      </c>
      <c r="AH43">
        <v>67293.14976753114</v>
      </c>
      <c r="AI43">
        <v>16269.033280922144</v>
      </c>
      <c r="AJ43">
        <v>1429485.2534907488</v>
      </c>
      <c r="AK43">
        <v>35137.307073158139</v>
      </c>
      <c r="AL43">
        <v>108215.3503014696</v>
      </c>
      <c r="AM43">
        <v>1569720.7842759965</v>
      </c>
      <c r="AN43">
        <v>1403474.6859030826</v>
      </c>
    </row>
    <row r="44" spans="1:40" x14ac:dyDescent="0.25">
      <c r="A44" s="1">
        <f t="shared" si="0"/>
        <v>40513</v>
      </c>
      <c r="B44" s="6">
        <v>182330.34021165356</v>
      </c>
      <c r="C44" s="6">
        <v>-38148.938414268989</v>
      </c>
      <c r="D44" s="6">
        <v>251176.98451771832</v>
      </c>
      <c r="E44" s="6">
        <v>248564.4193950828</v>
      </c>
      <c r="F44" s="6">
        <v>3107.3880598141591</v>
      </c>
      <c r="G44" s="6">
        <v>134952.96007465434</v>
      </c>
      <c r="H44" s="6">
        <v>102970.05706321259</v>
      </c>
      <c r="I44" s="6">
        <v>64279.760366475137</v>
      </c>
      <c r="J44">
        <v>39178.964256194879</v>
      </c>
      <c r="K44">
        <v>13175.368554643172</v>
      </c>
      <c r="L44">
        <v>1328.7099479115002</v>
      </c>
      <c r="M44">
        <v>5141.8784393348169</v>
      </c>
      <c r="N44">
        <v>32802.57494041395</v>
      </c>
      <c r="O44">
        <v>7868.3403347386047</v>
      </c>
      <c r="P44">
        <v>13429.170020944634</v>
      </c>
      <c r="Q44">
        <v>4156.1814157741792</v>
      </c>
      <c r="R44">
        <v>6209.7400835628205</v>
      </c>
      <c r="S44">
        <v>183.76563473489378</v>
      </c>
      <c r="T44">
        <v>2780.8754615349053</v>
      </c>
      <c r="U44">
        <v>3133.7852587187481</v>
      </c>
      <c r="V44">
        <v>6650.760488241116</v>
      </c>
      <c r="W44">
        <v>26460.295771467117</v>
      </c>
      <c r="X44">
        <v>152610.52844838088</v>
      </c>
      <c r="Y44">
        <v>812967.0921032934</v>
      </c>
      <c r="Z44">
        <v>623010.1935759472</v>
      </c>
      <c r="AA44">
        <v>239937.20979244003</v>
      </c>
      <c r="AB44">
        <v>22602.529926515497</v>
      </c>
      <c r="AC44">
        <v>187052.50022543277</v>
      </c>
      <c r="AD44">
        <v>53739.205093666103</v>
      </c>
      <c r="AE44">
        <v>133581.01120918113</v>
      </c>
      <c r="AF44">
        <v>195326.03649214696</v>
      </c>
      <c r="AG44">
        <v>107281.60211395864</v>
      </c>
      <c r="AH44">
        <v>71839.453948218623</v>
      </c>
      <c r="AI44">
        <v>16209.439909140827</v>
      </c>
      <c r="AJ44">
        <v>1449844.6383315851</v>
      </c>
      <c r="AK44">
        <v>31584.277733165709</v>
      </c>
      <c r="AL44">
        <v>101660.08403199006</v>
      </c>
      <c r="AM44">
        <v>1580989.8712085062</v>
      </c>
      <c r="AN44">
        <v>1424836.5240483163</v>
      </c>
    </row>
    <row r="45" spans="1:40" x14ac:dyDescent="0.25">
      <c r="A45" s="1">
        <f t="shared" si="0"/>
        <v>40603</v>
      </c>
      <c r="B45" s="6">
        <v>189464.48941330548</v>
      </c>
      <c r="C45" s="6">
        <v>-47029.568002303247</v>
      </c>
      <c r="D45" s="6">
        <v>325113.95273310057</v>
      </c>
      <c r="E45" s="6">
        <v>322276.67178883567</v>
      </c>
      <c r="F45" s="6">
        <v>2907.2449627843794</v>
      </c>
      <c r="G45" s="6">
        <v>156238.47109517537</v>
      </c>
      <c r="H45" s="6">
        <v>112025.70495317079</v>
      </c>
      <c r="I45" s="6">
        <v>72107.394381276143</v>
      </c>
      <c r="J45">
        <v>40233.040932335811</v>
      </c>
      <c r="K45">
        <v>21239.099217319817</v>
      </c>
      <c r="L45">
        <v>1774.643308589307</v>
      </c>
      <c r="M45">
        <v>5039.0820380129298</v>
      </c>
      <c r="N45">
        <v>43894.2972733559</v>
      </c>
      <c r="O45">
        <v>9110.6579925638907</v>
      </c>
      <c r="P45">
        <v>13791.36941829567</v>
      </c>
      <c r="Q45">
        <v>4398.8460446613526</v>
      </c>
      <c r="R45">
        <v>4392.1351906504196</v>
      </c>
      <c r="S45">
        <v>160.37001883504132</v>
      </c>
      <c r="T45">
        <v>2676.2248005801803</v>
      </c>
      <c r="U45">
        <v>3377.4899983001092</v>
      </c>
      <c r="V45">
        <v>5509.0725603302108</v>
      </c>
      <c r="W45">
        <v>27976.049239631946</v>
      </c>
      <c r="X45">
        <v>145072.77579018651</v>
      </c>
      <c r="Y45">
        <v>836597.47916561319</v>
      </c>
      <c r="Z45">
        <v>644509.92782915267</v>
      </c>
      <c r="AA45">
        <v>248711.22664422783</v>
      </c>
      <c r="AB45">
        <v>21587.331904067123</v>
      </c>
      <c r="AC45">
        <v>199322.70455797037</v>
      </c>
      <c r="AD45">
        <v>63940.123234095845</v>
      </c>
      <c r="AE45">
        <v>131945.20096081184</v>
      </c>
      <c r="AF45">
        <v>195300.65227320255</v>
      </c>
      <c r="AG45">
        <v>109600.01603734918</v>
      </c>
      <c r="AH45">
        <v>69055.572689812863</v>
      </c>
      <c r="AI45">
        <v>16647.827867979177</v>
      </c>
      <c r="AJ45">
        <v>1587520.6524622715</v>
      </c>
      <c r="AK45">
        <v>34236.901608637403</v>
      </c>
      <c r="AL45">
        <v>111409.69516378928</v>
      </c>
      <c r="AM45">
        <v>1734075.8709512767</v>
      </c>
      <c r="AN45">
        <v>1488822.4637888584</v>
      </c>
    </row>
    <row r="46" spans="1:40" x14ac:dyDescent="0.25">
      <c r="A46" s="1">
        <f t="shared" si="0"/>
        <v>40695</v>
      </c>
      <c r="B46" s="6">
        <v>192328.87748186561</v>
      </c>
      <c r="C46" s="6">
        <v>-47341.66527178837</v>
      </c>
      <c r="D46" s="6">
        <v>276606.99628082378</v>
      </c>
      <c r="E46" s="6">
        <v>274251.67568291444</v>
      </c>
      <c r="F46" s="6">
        <v>2901.4532680469251</v>
      </c>
      <c r="G46" s="6">
        <v>164404.52664659746</v>
      </c>
      <c r="H46" s="6">
        <v>108694.33870583994</v>
      </c>
      <c r="I46" s="6">
        <v>68121.777507083912</v>
      </c>
      <c r="J46">
        <v>40866.761859600898</v>
      </c>
      <c r="K46">
        <v>15758.415686739459</v>
      </c>
      <c r="L46">
        <v>1672.423198702613</v>
      </c>
      <c r="M46">
        <v>4992.4124314523442</v>
      </c>
      <c r="N46">
        <v>49464.177364659183</v>
      </c>
      <c r="O46">
        <v>8554.0720465142822</v>
      </c>
      <c r="P46">
        <v>13878.456340309907</v>
      </c>
      <c r="Q46">
        <v>4602.8623976155632</v>
      </c>
      <c r="R46">
        <v>5445.5477628040853</v>
      </c>
      <c r="S46">
        <v>176.05067966887211</v>
      </c>
      <c r="T46">
        <v>2598.8002641001349</v>
      </c>
      <c r="U46">
        <v>3364.326386490221</v>
      </c>
      <c r="V46">
        <v>6349.3428095078125</v>
      </c>
      <c r="W46">
        <v>28473.691963844227</v>
      </c>
      <c r="X46">
        <v>172365.0590649693</v>
      </c>
      <c r="Y46">
        <v>914958.42744659935</v>
      </c>
      <c r="Z46">
        <v>660024.77743664756</v>
      </c>
      <c r="AA46">
        <v>253714.8000451588</v>
      </c>
      <c r="AB46">
        <v>23327.594720899408</v>
      </c>
      <c r="AC46">
        <v>202220.7128024392</v>
      </c>
      <c r="AD46">
        <v>64550.797616130854</v>
      </c>
      <c r="AE46">
        <v>134566.56553448064</v>
      </c>
      <c r="AF46">
        <v>255477.45867857995</v>
      </c>
      <c r="AG46">
        <v>150102.13759139448</v>
      </c>
      <c r="AH46">
        <v>88305.235672140479</v>
      </c>
      <c r="AI46">
        <v>16935.185129920625</v>
      </c>
      <c r="AJ46">
        <v>1627037.8201667143</v>
      </c>
      <c r="AK46">
        <v>30629.256526032084</v>
      </c>
      <c r="AL46">
        <v>106070.71425652942</v>
      </c>
      <c r="AM46">
        <v>1765683.37969173</v>
      </c>
      <c r="AN46">
        <v>1607283.1231022447</v>
      </c>
    </row>
    <row r="47" spans="1:40" x14ac:dyDescent="0.25">
      <c r="A47" s="1">
        <f t="shared" si="0"/>
        <v>40787</v>
      </c>
      <c r="B47" s="6">
        <v>172278.64291145172</v>
      </c>
      <c r="C47" s="6">
        <v>-44997.949501316129</v>
      </c>
      <c r="D47" s="6">
        <v>246267.76809834264</v>
      </c>
      <c r="E47" s="6">
        <v>243489.85331928069</v>
      </c>
      <c r="F47" s="6">
        <v>2995.1312500675849</v>
      </c>
      <c r="G47" s="6">
        <v>145246.82591368142</v>
      </c>
      <c r="H47" s="6">
        <v>105490.65379660537</v>
      </c>
      <c r="I47" s="6">
        <v>66683.389873093634</v>
      </c>
      <c r="J47">
        <v>39067.051520090914</v>
      </c>
      <c r="K47">
        <v>15746.679335314304</v>
      </c>
      <c r="L47">
        <v>1364.0308292674858</v>
      </c>
      <c r="M47">
        <v>5113.6754324398944</v>
      </c>
      <c r="N47">
        <v>39288.861582651669</v>
      </c>
      <c r="O47">
        <v>8325.9624327062866</v>
      </c>
      <c r="P47">
        <v>13510.99591529134</v>
      </c>
      <c r="Q47">
        <v>4449.1543452210035</v>
      </c>
      <c r="R47">
        <v>5537.2521664442074</v>
      </c>
      <c r="S47">
        <v>164.9932629833003</v>
      </c>
      <c r="T47">
        <v>2468.6394959876352</v>
      </c>
      <c r="U47">
        <v>3097.8805548892419</v>
      </c>
      <c r="V47">
        <v>6032.0146767173865</v>
      </c>
      <c r="W47">
        <v>28745.779551483694</v>
      </c>
      <c r="X47">
        <v>165985.6085401396</v>
      </c>
      <c r="Y47">
        <v>838097.56949995505</v>
      </c>
      <c r="Z47">
        <v>650341.73915472033</v>
      </c>
      <c r="AA47">
        <v>252586.89018563763</v>
      </c>
      <c r="AB47">
        <v>25931.573256093008</v>
      </c>
      <c r="AC47">
        <v>191353.12445691612</v>
      </c>
      <c r="AD47">
        <v>61767.976224488244</v>
      </c>
      <c r="AE47">
        <v>136666.41766388749</v>
      </c>
      <c r="AF47">
        <v>192803.2489646005</v>
      </c>
      <c r="AG47">
        <v>106724.30007736664</v>
      </c>
      <c r="AH47">
        <v>68773.599062416833</v>
      </c>
      <c r="AI47">
        <v>16952.332678720875</v>
      </c>
      <c r="AJ47">
        <v>1470940.3258419805</v>
      </c>
      <c r="AK47">
        <v>32080.361357793383</v>
      </c>
      <c r="AL47">
        <v>107998.91960086666</v>
      </c>
      <c r="AM47">
        <v>1608963.8038828964</v>
      </c>
      <c r="AN47">
        <v>1450437.6483694336</v>
      </c>
    </row>
    <row r="48" spans="1:40" x14ac:dyDescent="0.25">
      <c r="A48" s="1">
        <f t="shared" si="0"/>
        <v>40878</v>
      </c>
      <c r="B48" s="6">
        <v>201657.35627408887</v>
      </c>
      <c r="C48" s="6">
        <v>-40285.278965468053</v>
      </c>
      <c r="D48" s="6">
        <v>231836.35670985401</v>
      </c>
      <c r="E48" s="6">
        <v>229424.95910166146</v>
      </c>
      <c r="F48" s="6">
        <v>2911.6226120458673</v>
      </c>
      <c r="G48" s="6">
        <v>121052.80518696494</v>
      </c>
      <c r="H48" s="6">
        <v>107034.28399932932</v>
      </c>
      <c r="I48" s="6">
        <v>65550.11335922232</v>
      </c>
      <c r="J48">
        <v>42234.92346817808</v>
      </c>
      <c r="K48">
        <v>13465.22666284532</v>
      </c>
      <c r="L48">
        <v>1343.3257573385265</v>
      </c>
      <c r="M48">
        <v>5290.9929140755266</v>
      </c>
      <c r="N48">
        <v>25225.180129178323</v>
      </c>
      <c r="O48">
        <v>8411.2558178355666</v>
      </c>
      <c r="P48">
        <v>13697.753421363524</v>
      </c>
      <c r="Q48">
        <v>4343.209579484017</v>
      </c>
      <c r="R48">
        <v>6352.5641054847638</v>
      </c>
      <c r="S48">
        <v>177.5176031539074</v>
      </c>
      <c r="T48">
        <v>2719.6962013811376</v>
      </c>
      <c r="U48">
        <v>3008.4338483699985</v>
      </c>
      <c r="V48">
        <v>6451.2376735938833</v>
      </c>
      <c r="W48">
        <v>27942.072334669279</v>
      </c>
      <c r="X48">
        <v>192136.65531651146</v>
      </c>
      <c r="Y48">
        <v>861292.32333309029</v>
      </c>
      <c r="Z48">
        <v>652666.92103499826</v>
      </c>
      <c r="AA48">
        <v>251454.19586247718</v>
      </c>
      <c r="AB48">
        <v>24568.950030122342</v>
      </c>
      <c r="AC48">
        <v>195282.81023535182</v>
      </c>
      <c r="AD48">
        <v>56049.990912693742</v>
      </c>
      <c r="AE48">
        <v>140393.64278084936</v>
      </c>
      <c r="AF48">
        <v>211652.70893560658</v>
      </c>
      <c r="AG48">
        <v>118868.01514226617</v>
      </c>
      <c r="AH48">
        <v>75359.587191681334</v>
      </c>
      <c r="AI48">
        <v>17003.702464688726</v>
      </c>
      <c r="AJ48">
        <v>1491890.132843201</v>
      </c>
      <c r="AK48">
        <v>33352.997286222999</v>
      </c>
      <c r="AL48">
        <v>99830.202519414233</v>
      </c>
      <c r="AM48">
        <v>1625257.5876023441</v>
      </c>
      <c r="AN48">
        <v>1519044.8307132148</v>
      </c>
    </row>
    <row r="49" spans="1:40" x14ac:dyDescent="0.25">
      <c r="A49" s="1">
        <f t="shared" si="0"/>
        <v>40969</v>
      </c>
      <c r="B49" s="6">
        <v>207274.15141815622</v>
      </c>
      <c r="C49" s="6">
        <v>-47923.129794347013</v>
      </c>
      <c r="D49" s="6">
        <v>312434.50857650954</v>
      </c>
      <c r="E49" s="6">
        <v>309707.88158907107</v>
      </c>
      <c r="F49" s="6">
        <v>2849.1000635286914</v>
      </c>
      <c r="G49" s="6">
        <v>135927.46985280255</v>
      </c>
      <c r="H49" s="6">
        <v>115593.53837390825</v>
      </c>
      <c r="I49" s="6">
        <v>73552.567623317722</v>
      </c>
      <c r="J49">
        <v>42405.625142681951</v>
      </c>
      <c r="K49">
        <v>21493.968407927656</v>
      </c>
      <c r="L49">
        <v>1756.8968755034139</v>
      </c>
      <c r="M49">
        <v>5437.1695190159517</v>
      </c>
      <c r="N49">
        <v>33271.877333203767</v>
      </c>
      <c r="O49">
        <v>9538.8589182143951</v>
      </c>
      <c r="P49">
        <v>14080.988176079878</v>
      </c>
      <c r="Q49">
        <v>4522.013733911871</v>
      </c>
      <c r="R49">
        <v>4528.2913815605816</v>
      </c>
      <c r="S49">
        <v>154.27595811930973</v>
      </c>
      <c r="T49">
        <v>2673.5485757796</v>
      </c>
      <c r="U49">
        <v>3134.3107184225014</v>
      </c>
      <c r="V49">
        <v>5426.436471925258</v>
      </c>
      <c r="W49">
        <v>30270.085277281767</v>
      </c>
      <c r="X49">
        <v>179309.95087667054</v>
      </c>
      <c r="Y49">
        <v>877685.43611013005</v>
      </c>
      <c r="Z49">
        <v>671791.16693278879</v>
      </c>
      <c r="AA49">
        <v>260898.07674979497</v>
      </c>
      <c r="AB49">
        <v>22234.951861189133</v>
      </c>
      <c r="AC49">
        <v>208292.22626307901</v>
      </c>
      <c r="AD49">
        <v>64771.344836139091</v>
      </c>
      <c r="AE49">
        <v>136431.33779347944</v>
      </c>
      <c r="AF49">
        <v>207361.17130785514</v>
      </c>
      <c r="AG49">
        <v>117710.41722411301</v>
      </c>
      <c r="AH49">
        <v>72232.129033544261</v>
      </c>
      <c r="AI49">
        <v>16997.432253206734</v>
      </c>
      <c r="AJ49">
        <v>1631971.2307312151</v>
      </c>
      <c r="AK49">
        <v>42282.573486667192</v>
      </c>
      <c r="AL49">
        <v>112412.38242026338</v>
      </c>
      <c r="AM49">
        <v>1786098.1470798154</v>
      </c>
      <c r="AN49">
        <v>1573219.6642057607</v>
      </c>
    </row>
    <row r="50" spans="1:40" x14ac:dyDescent="0.25">
      <c r="A50" s="1">
        <f t="shared" si="0"/>
        <v>41061</v>
      </c>
      <c r="B50" s="6">
        <v>209638.47645523355</v>
      </c>
      <c r="C50" s="6">
        <v>-47057.615280157639</v>
      </c>
      <c r="D50" s="6">
        <v>273011.10532917303</v>
      </c>
      <c r="E50" s="6">
        <v>270686.40389903646</v>
      </c>
      <c r="F50" s="6">
        <v>2979.7925062841919</v>
      </c>
      <c r="G50" s="6">
        <v>144018.36534241942</v>
      </c>
      <c r="H50" s="6">
        <v>110711.80125606118</v>
      </c>
      <c r="I50" s="6">
        <v>68944.381390620547</v>
      </c>
      <c r="J50">
        <v>42133.631477248513</v>
      </c>
      <c r="K50">
        <v>16199.651325968165</v>
      </c>
      <c r="L50">
        <v>1647.3368507220735</v>
      </c>
      <c r="M50">
        <v>5561.5474486379107</v>
      </c>
      <c r="N50">
        <v>38235.809102881554</v>
      </c>
      <c r="O50">
        <v>8802.1401358631956</v>
      </c>
      <c r="P50">
        <v>13864.577883969596</v>
      </c>
      <c r="Q50">
        <v>4635.0824343988716</v>
      </c>
      <c r="R50">
        <v>5418.3200239900643</v>
      </c>
      <c r="S50">
        <v>169.00865248211721</v>
      </c>
      <c r="T50">
        <v>2661.1714704385372</v>
      </c>
      <c r="U50">
        <v>3118.7305602764354</v>
      </c>
      <c r="V50">
        <v>6019.1769834134047</v>
      </c>
      <c r="W50">
        <v>31121.745316481734</v>
      </c>
      <c r="X50">
        <v>190808.12038492103</v>
      </c>
      <c r="Y50">
        <v>967220.4005747817</v>
      </c>
      <c r="Z50">
        <v>689795.1955078654</v>
      </c>
      <c r="AA50">
        <v>265385.68084723613</v>
      </c>
      <c r="AB50">
        <v>24260.698509735383</v>
      </c>
      <c r="AC50">
        <v>213545.07271937584</v>
      </c>
      <c r="AD50">
        <v>64034.391235201816</v>
      </c>
      <c r="AE50">
        <v>138872.69563158401</v>
      </c>
      <c r="AF50">
        <v>274810.40022274334</v>
      </c>
      <c r="AG50">
        <v>163010.92142425443</v>
      </c>
      <c r="AH50">
        <v>93868.465519485311</v>
      </c>
      <c r="AI50">
        <v>17341.629573038717</v>
      </c>
      <c r="AJ50">
        <v>1667713.7656708818</v>
      </c>
      <c r="AK50">
        <v>48210.44977197449</v>
      </c>
      <c r="AL50">
        <v>109040.69425571222</v>
      </c>
      <c r="AM50">
        <v>1822185.2478418655</v>
      </c>
      <c r="AN50">
        <v>1683024.2497559455</v>
      </c>
    </row>
    <row r="51" spans="1:40" x14ac:dyDescent="0.25">
      <c r="A51" s="1">
        <f t="shared" si="0"/>
        <v>41153</v>
      </c>
      <c r="B51" s="6">
        <v>188817.3926309511</v>
      </c>
      <c r="C51" s="6">
        <v>-44547.970006302974</v>
      </c>
      <c r="D51" s="6">
        <v>239372.27059158904</v>
      </c>
      <c r="E51" s="6">
        <v>236428.64757302159</v>
      </c>
      <c r="F51" s="6">
        <v>3073.0046625693417</v>
      </c>
      <c r="G51" s="6">
        <v>115035.4861236357</v>
      </c>
      <c r="H51" s="6">
        <v>107655.94761056516</v>
      </c>
      <c r="I51" s="6">
        <v>67610.158822892772</v>
      </c>
      <c r="J51">
        <v>40356.264220253906</v>
      </c>
      <c r="K51">
        <v>15951.38616667339</v>
      </c>
      <c r="L51">
        <v>1368.1229217552882</v>
      </c>
      <c r="M51">
        <v>5737.5438351975608</v>
      </c>
      <c r="N51">
        <v>24869.849381818509</v>
      </c>
      <c r="O51">
        <v>8417.548019466054</v>
      </c>
      <c r="P51">
        <v>13727.171849936001</v>
      </c>
      <c r="Q51">
        <v>4435.8068821853412</v>
      </c>
      <c r="R51">
        <v>5481.8796447797649</v>
      </c>
      <c r="S51">
        <v>158.55852572695156</v>
      </c>
      <c r="T51">
        <v>2668.5992951626336</v>
      </c>
      <c r="U51">
        <v>2899.6161993763303</v>
      </c>
      <c r="V51">
        <v>5796.7661043254075</v>
      </c>
      <c r="W51">
        <v>31131.67925425684</v>
      </c>
      <c r="X51">
        <v>187895.70886743808</v>
      </c>
      <c r="Y51">
        <v>867872.24996452639</v>
      </c>
      <c r="Z51">
        <v>681901.85383586818</v>
      </c>
      <c r="AA51">
        <v>265216.23469491949</v>
      </c>
      <c r="AB51">
        <v>28083.893836348729</v>
      </c>
      <c r="AC51">
        <v>204556.49004444332</v>
      </c>
      <c r="AD51">
        <v>61088.528486018877</v>
      </c>
      <c r="AE51">
        <v>138716.41392884575</v>
      </c>
      <c r="AF51">
        <v>196203.12208300576</v>
      </c>
      <c r="AG51">
        <v>107898.26737821766</v>
      </c>
      <c r="AH51">
        <v>70905.580633351754</v>
      </c>
      <c r="AI51">
        <v>16901.475680684707</v>
      </c>
      <c r="AJ51">
        <v>1478295.0274711903</v>
      </c>
      <c r="AK51">
        <v>32946.531114453799</v>
      </c>
      <c r="AL51">
        <v>114694.85261612039</v>
      </c>
      <c r="AM51">
        <v>1621835.5143139595</v>
      </c>
      <c r="AN51">
        <v>1480613.7501087715</v>
      </c>
    </row>
    <row r="52" spans="1:40" x14ac:dyDescent="0.25">
      <c r="A52" s="1">
        <f t="shared" si="0"/>
        <v>41244</v>
      </c>
      <c r="B52" s="6">
        <v>223234.69339541634</v>
      </c>
      <c r="C52" s="6">
        <v>-40325.564244433517</v>
      </c>
      <c r="D52" s="6">
        <v>226272.28414881747</v>
      </c>
      <c r="E52" s="6">
        <v>223918.76008322157</v>
      </c>
      <c r="F52" s="6">
        <v>2990.2364225711058</v>
      </c>
      <c r="G52" s="6">
        <v>104589.62368153771</v>
      </c>
      <c r="H52" s="6">
        <v>110011.34951083215</v>
      </c>
      <c r="I52" s="6">
        <v>66993.657657718068</v>
      </c>
      <c r="J52">
        <v>43882.085483437018</v>
      </c>
      <c r="K52">
        <v>13815.3225560793</v>
      </c>
      <c r="L52">
        <v>1382.2822043013437</v>
      </c>
      <c r="M52">
        <v>5952.3670283349675</v>
      </c>
      <c r="N52">
        <v>18969.3354571421</v>
      </c>
      <c r="O52">
        <v>8343.965771292882</v>
      </c>
      <c r="P52">
        <v>13889.521969262614</v>
      </c>
      <c r="Q52">
        <v>4343.2095794840179</v>
      </c>
      <c r="R52">
        <v>6568.5512850712457</v>
      </c>
      <c r="S52">
        <v>172.90214547190581</v>
      </c>
      <c r="T52">
        <v>2752.3325557977109</v>
      </c>
      <c r="U52">
        <v>2848.9868544063884</v>
      </c>
      <c r="V52">
        <v>6586.7136647393536</v>
      </c>
      <c r="W52">
        <v>31826.020389188317</v>
      </c>
      <c r="X52">
        <v>206546.90446524989</v>
      </c>
      <c r="Y52">
        <v>897251.65137628373</v>
      </c>
      <c r="Z52">
        <v>685635.45286185737</v>
      </c>
      <c r="AA52">
        <v>265032.72243905097</v>
      </c>
      <c r="AB52">
        <v>26411.621282381522</v>
      </c>
      <c r="AC52">
        <v>208952.60695182646</v>
      </c>
      <c r="AD52">
        <v>55993.940921781053</v>
      </c>
      <c r="AE52">
        <v>143201.51563646633</v>
      </c>
      <c r="AF52">
        <v>218369.19269867535</v>
      </c>
      <c r="AG52">
        <v>122077.45155110736</v>
      </c>
      <c r="AH52">
        <v>78449.330266540273</v>
      </c>
      <c r="AI52">
        <v>17343.776513982502</v>
      </c>
      <c r="AJ52">
        <v>1511284.7045701626</v>
      </c>
      <c r="AK52">
        <v>57033.625359441314</v>
      </c>
      <c r="AL52">
        <v>107317.4677083703</v>
      </c>
      <c r="AM52">
        <v>1669139.5424676074</v>
      </c>
      <c r="AN52">
        <v>1586855.7786303579</v>
      </c>
    </row>
    <row r="53" spans="1:40" x14ac:dyDescent="0.25">
      <c r="A53" s="1">
        <f t="shared" si="0"/>
        <v>41334</v>
      </c>
      <c r="B53" s="6">
        <v>234219.79110251649</v>
      </c>
      <c r="C53" s="6">
        <v>-49264.977428588732</v>
      </c>
      <c r="D53" s="6">
        <v>280878.62321028206</v>
      </c>
      <c r="E53" s="6">
        <v>278117.67766698584</v>
      </c>
      <c r="F53" s="6">
        <v>2894.6856645451508</v>
      </c>
      <c r="G53" s="6">
        <v>106431.2088947444</v>
      </c>
      <c r="H53" s="6">
        <v>118463.83123249005</v>
      </c>
      <c r="I53" s="6">
        <v>74635.645925510704</v>
      </c>
      <c r="J53">
        <v>44271.472648959956</v>
      </c>
      <c r="K53">
        <v>22697.63063877161</v>
      </c>
      <c r="L53">
        <v>1906.2331099212038</v>
      </c>
      <c r="M53">
        <v>6046.1325051457397</v>
      </c>
      <c r="N53">
        <v>19696.951381256637</v>
      </c>
      <c r="O53">
        <v>9271.770868504389</v>
      </c>
      <c r="P53">
        <v>13517.748649036681</v>
      </c>
      <c r="Q53">
        <v>4522.013733911871</v>
      </c>
      <c r="R53">
        <v>4632.4420833364757</v>
      </c>
      <c r="S53">
        <v>153.19602641247454</v>
      </c>
      <c r="T53">
        <v>2636.1188957186851</v>
      </c>
      <c r="U53">
        <v>3087.2960576461637</v>
      </c>
      <c r="V53">
        <v>5578.3766931391647</v>
      </c>
      <c r="W53">
        <v>32116.560479195959</v>
      </c>
      <c r="X53">
        <v>209075.40272219785</v>
      </c>
      <c r="Y53">
        <v>922157.09159397869</v>
      </c>
      <c r="Z53">
        <v>710059.97833527566</v>
      </c>
      <c r="AA53">
        <v>276030.16520128306</v>
      </c>
      <c r="AB53">
        <v>23791.398491472377</v>
      </c>
      <c r="AC53">
        <v>223914.14323280993</v>
      </c>
      <c r="AD53">
        <v>66325.857112206431</v>
      </c>
      <c r="AE53">
        <v>140114.98391390339</v>
      </c>
      <c r="AF53">
        <v>215897.75449389205</v>
      </c>
      <c r="AG53">
        <v>122183.41307862934</v>
      </c>
      <c r="AH53">
        <v>75627.039098120833</v>
      </c>
      <c r="AI53">
        <v>17626.337246575382</v>
      </c>
      <c r="AJ53">
        <v>1628707.2882697526</v>
      </c>
      <c r="AK53">
        <v>58688.211999494059</v>
      </c>
      <c r="AL53">
        <v>120730.89871936289</v>
      </c>
      <c r="AM53">
        <v>1800386.9322564537</v>
      </c>
      <c r="AN53">
        <v>1652955.9495926416</v>
      </c>
    </row>
    <row r="54" spans="1:40" x14ac:dyDescent="0.25">
      <c r="A54" s="1">
        <f t="shared" si="0"/>
        <v>41426</v>
      </c>
      <c r="B54" s="6">
        <v>237101.1168708691</v>
      </c>
      <c r="C54" s="6">
        <v>-49410.49604416552</v>
      </c>
      <c r="D54" s="6">
        <v>247348.06142823078</v>
      </c>
      <c r="E54" s="6">
        <v>244971.19552862801</v>
      </c>
      <c r="F54" s="6">
        <v>3027.4691863847393</v>
      </c>
      <c r="G54" s="6">
        <v>128896.43698146535</v>
      </c>
      <c r="H54" s="6">
        <v>115412.81302444643</v>
      </c>
      <c r="I54" s="6">
        <v>71278.835523513597</v>
      </c>
      <c r="J54">
        <v>44619.515734406174</v>
      </c>
      <c r="K54">
        <v>17058.232846244475</v>
      </c>
      <c r="L54">
        <v>1856.5486307637766</v>
      </c>
      <c r="M54">
        <v>6101.0175511557882</v>
      </c>
      <c r="N54">
        <v>29938.638527556253</v>
      </c>
      <c r="O54">
        <v>8634.8994732817937</v>
      </c>
      <c r="P54">
        <v>13947.765351273414</v>
      </c>
      <c r="Q54">
        <v>4723.14900065245</v>
      </c>
      <c r="R54">
        <v>5716.3276253095173</v>
      </c>
      <c r="S54">
        <v>170.19171304949197</v>
      </c>
      <c r="T54">
        <v>2629.2374127932744</v>
      </c>
      <c r="U54">
        <v>3159.2740575600287</v>
      </c>
      <c r="V54">
        <v>6482.6536111362357</v>
      </c>
      <c r="W54">
        <v>33020.171780787117</v>
      </c>
      <c r="X54">
        <v>228397.32010075048</v>
      </c>
      <c r="Y54">
        <v>1017736.6791593309</v>
      </c>
      <c r="Z54">
        <v>731616.10372093169</v>
      </c>
      <c r="AA54">
        <v>283431.90714484826</v>
      </c>
      <c r="AB54">
        <v>25667.819023300035</v>
      </c>
      <c r="AC54">
        <v>230201.58839148717</v>
      </c>
      <c r="AD54">
        <v>66851.904449550711</v>
      </c>
      <c r="AE54">
        <v>142066.76763111044</v>
      </c>
      <c r="AF54">
        <v>286197.18351592612</v>
      </c>
      <c r="AG54">
        <v>169368.34735980036</v>
      </c>
      <c r="AH54">
        <v>98186.414933381646</v>
      </c>
      <c r="AI54">
        <v>18000.611496814192</v>
      </c>
      <c r="AJ54">
        <v>1697732.6134529575</v>
      </c>
      <c r="AK54">
        <v>52501.17980168022</v>
      </c>
      <c r="AL54">
        <v>117545.86840765778</v>
      </c>
      <c r="AM54">
        <v>1862273.323294386</v>
      </c>
      <c r="AN54">
        <v>1779682.7533602242</v>
      </c>
    </row>
    <row r="55" spans="1:40" x14ac:dyDescent="0.25">
      <c r="A55" s="1">
        <f t="shared" si="0"/>
        <v>41518</v>
      </c>
      <c r="B55" s="6">
        <v>212041.9319245581</v>
      </c>
      <c r="C55" s="6">
        <v>-47309.944146693757</v>
      </c>
      <c r="D55" s="6">
        <v>202508.94092048437</v>
      </c>
      <c r="E55" s="6">
        <v>199782.20719920326</v>
      </c>
      <c r="F55" s="6">
        <v>3168.2678071089913</v>
      </c>
      <c r="G55" s="6">
        <v>132981.02195892285</v>
      </c>
      <c r="H55" s="6">
        <v>113686.24529997524</v>
      </c>
      <c r="I55" s="6">
        <v>71109.552290493521</v>
      </c>
      <c r="J55">
        <v>42939.065130350165</v>
      </c>
      <c r="K55">
        <v>16764.906861173728</v>
      </c>
      <c r="L55">
        <v>1574.7094829403368</v>
      </c>
      <c r="M55">
        <v>6282.6104995413289</v>
      </c>
      <c r="N55">
        <v>31286.270522327686</v>
      </c>
      <c r="O55">
        <v>8585.8989798553739</v>
      </c>
      <c r="P55">
        <v>14564.529332782098</v>
      </c>
      <c r="Q55">
        <v>4644.2898056480526</v>
      </c>
      <c r="R55">
        <v>5755.9736270187532</v>
      </c>
      <c r="S55">
        <v>161.88825476721752</v>
      </c>
      <c r="T55">
        <v>2564.5239226512908</v>
      </c>
      <c r="U55">
        <v>3053.2958579432757</v>
      </c>
      <c r="V55">
        <v>6185.1494333152086</v>
      </c>
      <c r="W55">
        <v>32657.131537715417</v>
      </c>
      <c r="X55">
        <v>218710.60512169788</v>
      </c>
      <c r="Y55">
        <v>920292.97906655609</v>
      </c>
      <c r="Z55">
        <v>730849.46437311603</v>
      </c>
      <c r="AA55">
        <v>284842.23606234358</v>
      </c>
      <c r="AB55">
        <v>30948.451007656302</v>
      </c>
      <c r="AC55">
        <v>222557.46116835435</v>
      </c>
      <c r="AD55">
        <v>64692.751666693992</v>
      </c>
      <c r="AE55">
        <v>143987.6376581419</v>
      </c>
      <c r="AF55">
        <v>203687.59148187234</v>
      </c>
      <c r="AG55">
        <v>111566.80846907705</v>
      </c>
      <c r="AH55">
        <v>73812.709439319166</v>
      </c>
      <c r="AI55">
        <v>18101.480454013323</v>
      </c>
      <c r="AJ55">
        <v>1518208.9932129125</v>
      </c>
      <c r="AK55">
        <v>48068.988895988099</v>
      </c>
      <c r="AL55">
        <v>120429.59524692642</v>
      </c>
      <c r="AM55">
        <v>1676977.9218006341</v>
      </c>
      <c r="AN55">
        <v>1632994.4965848739</v>
      </c>
    </row>
    <row r="56" spans="1:40" x14ac:dyDescent="0.25">
      <c r="A56" s="1">
        <f t="shared" si="0"/>
        <v>41609</v>
      </c>
      <c r="B56" s="6">
        <v>244888.45865477173</v>
      </c>
      <c r="C56" s="6">
        <v>-42987.051484566131</v>
      </c>
      <c r="D56" s="6">
        <v>216090.03136212067</v>
      </c>
      <c r="E56" s="6">
        <v>213842.41587947658</v>
      </c>
      <c r="F56" s="6">
        <v>3044.0606781773854</v>
      </c>
      <c r="G56" s="6">
        <v>125821.3172888899</v>
      </c>
      <c r="H56" s="6">
        <v>117809.37412549242</v>
      </c>
      <c r="I56" s="6">
        <v>70909.475205625975</v>
      </c>
      <c r="J56">
        <v>48050.883604363531</v>
      </c>
      <c r="K56">
        <v>13856.768523747533</v>
      </c>
      <c r="L56">
        <v>1602.0650747852574</v>
      </c>
      <c r="M56">
        <v>6458.3182257434391</v>
      </c>
      <c r="N56">
        <v>25399.940177113273</v>
      </c>
      <c r="O56">
        <v>9086.57872493795</v>
      </c>
      <c r="P56">
        <v>14861.788507110996</v>
      </c>
      <c r="Q56">
        <v>4708.0391841606761</v>
      </c>
      <c r="R56">
        <v>6785.3134774785958</v>
      </c>
      <c r="S56">
        <v>177.91630769059108</v>
      </c>
      <c r="T56">
        <v>2997.290153263707</v>
      </c>
      <c r="U56">
        <v>3162.3754083910908</v>
      </c>
      <c r="V56">
        <v>6804.0752156757517</v>
      </c>
      <c r="W56">
        <v>34594.884163047704</v>
      </c>
      <c r="X56">
        <v>211090.93636348538</v>
      </c>
      <c r="Y56">
        <v>947325.15082460979</v>
      </c>
      <c r="Z56">
        <v>733609.57873252279</v>
      </c>
      <c r="AA56">
        <v>288090.56929124834</v>
      </c>
      <c r="AB56">
        <v>26094.681826992946</v>
      </c>
      <c r="AC56">
        <v>226922.53114968358</v>
      </c>
      <c r="AD56">
        <v>59745.534963540376</v>
      </c>
      <c r="AE56">
        <v>147497.56110556031</v>
      </c>
      <c r="AF56">
        <v>226360.95974668147</v>
      </c>
      <c r="AG56">
        <v>126350.16235539611</v>
      </c>
      <c r="AH56">
        <v>81430.404816668801</v>
      </c>
      <c r="AI56">
        <v>18245.652892709593</v>
      </c>
      <c r="AJ56">
        <v>1576269.9468666795</v>
      </c>
      <c r="AK56">
        <v>54752.280345063664</v>
      </c>
      <c r="AL56">
        <v>110966.26161045489</v>
      </c>
      <c r="AM56">
        <v>1735905.1241663117</v>
      </c>
      <c r="AN56">
        <v>1691371.6538153924</v>
      </c>
    </row>
    <row r="57" spans="1:40" x14ac:dyDescent="0.25">
      <c r="A57" s="1">
        <f t="shared" si="0"/>
        <v>41699</v>
      </c>
      <c r="B57" s="6">
        <v>246399.22023984737</v>
      </c>
      <c r="C57" s="6">
        <v>-52319.406029161233</v>
      </c>
      <c r="D57" s="6">
        <v>225264.65581464628</v>
      </c>
      <c r="E57" s="6">
        <v>222772.25981125567</v>
      </c>
      <c r="F57" s="6">
        <v>3007.578405462411</v>
      </c>
      <c r="G57" s="6">
        <v>161562.57510222198</v>
      </c>
      <c r="H57" s="6">
        <v>131359.95691866396</v>
      </c>
      <c r="I57" s="6">
        <v>82013.930912896045</v>
      </c>
      <c r="J57">
        <v>49938.221148026823</v>
      </c>
      <c r="K57">
        <v>21948.608827692147</v>
      </c>
      <c r="L57">
        <v>2205.511708178833</v>
      </c>
      <c r="M57">
        <v>6608.4228281242931</v>
      </c>
      <c r="N57">
        <v>41265.113143732655</v>
      </c>
      <c r="O57">
        <v>11042.67910438873</v>
      </c>
      <c r="P57">
        <v>15802.24817072388</v>
      </c>
      <c r="Q57">
        <v>5159.6176703934443</v>
      </c>
      <c r="R57">
        <v>4924.2859345866727</v>
      </c>
      <c r="S57">
        <v>157.17912309919888</v>
      </c>
      <c r="T57">
        <v>3092.167464678017</v>
      </c>
      <c r="U57">
        <v>3618.3109795613036</v>
      </c>
      <c r="V57">
        <v>5812.6685142510096</v>
      </c>
      <c r="W57">
        <v>34043.554107947719</v>
      </c>
      <c r="X57">
        <v>224965.1333290849</v>
      </c>
      <c r="Y57">
        <v>983189.18759937643</v>
      </c>
      <c r="Z57">
        <v>766934.56670195796</v>
      </c>
      <c r="AA57">
        <v>304185.24205181398</v>
      </c>
      <c r="AB57">
        <v>26051.58134816225</v>
      </c>
      <c r="AC57">
        <v>242051.18883466753</v>
      </c>
      <c r="AD57">
        <v>71034.992967173093</v>
      </c>
      <c r="AE57">
        <v>144598.66339914827</v>
      </c>
      <c r="AF57">
        <v>224575.6291517347</v>
      </c>
      <c r="AG57">
        <v>127315.11642793176</v>
      </c>
      <c r="AH57">
        <v>78425.239544751297</v>
      </c>
      <c r="AI57">
        <v>18349.017073684969</v>
      </c>
      <c r="AJ57">
        <v>1672682.385053036</v>
      </c>
      <c r="AK57">
        <v>53641.025767537561</v>
      </c>
      <c r="AL57">
        <v>125801.59646557613</v>
      </c>
      <c r="AM57">
        <v>1845396.605562865</v>
      </c>
      <c r="AN57">
        <v>1808590.7993644974</v>
      </c>
    </row>
    <row r="58" spans="1:40" x14ac:dyDescent="0.25">
      <c r="A58" s="1">
        <f t="shared" si="0"/>
        <v>41791</v>
      </c>
      <c r="B58" s="6">
        <v>244688.35261073691</v>
      </c>
      <c r="C58" s="6">
        <v>-52276.304814727133</v>
      </c>
      <c r="D58" s="6">
        <v>234980.65835681919</v>
      </c>
      <c r="E58" s="6">
        <v>232477.66455666797</v>
      </c>
      <c r="F58" s="6">
        <v>3190.9525224495155</v>
      </c>
      <c r="G58" s="6">
        <v>182775.14763971785</v>
      </c>
      <c r="H58" s="6">
        <v>129060.09147828486</v>
      </c>
      <c r="I58" s="6">
        <v>78625.342724066999</v>
      </c>
      <c r="J58">
        <v>51223.204063098288</v>
      </c>
      <c r="K58">
        <v>15830.040081314874</v>
      </c>
      <c r="L58">
        <v>2122.0350849629967</v>
      </c>
      <c r="M58">
        <v>6778.2304993340813</v>
      </c>
      <c r="N58">
        <v>51195.071882121185</v>
      </c>
      <c r="O58">
        <v>10638.196151083168</v>
      </c>
      <c r="P58">
        <v>16974.430432499747</v>
      </c>
      <c r="Q58">
        <v>5549.7000757666301</v>
      </c>
      <c r="R58">
        <v>5967.8460408231358</v>
      </c>
      <c r="S58">
        <v>181.42436611075846</v>
      </c>
      <c r="T58">
        <v>3042.0276866018189</v>
      </c>
      <c r="U58">
        <v>3680.5542770574334</v>
      </c>
      <c r="V58">
        <v>6521.5495328030529</v>
      </c>
      <c r="W58">
        <v>35892.926725715588</v>
      </c>
      <c r="X58">
        <v>237304.81558467977</v>
      </c>
      <c r="Y58">
        <v>1079910.1721227476</v>
      </c>
      <c r="Z58">
        <v>785080.50280074938</v>
      </c>
      <c r="AA58">
        <v>314325.98502363672</v>
      </c>
      <c r="AB58">
        <v>25205.798280880634</v>
      </c>
      <c r="AC58">
        <v>245394.8932253253</v>
      </c>
      <c r="AD58">
        <v>71531.537761019252</v>
      </c>
      <c r="AE58">
        <v>146612.90419530598</v>
      </c>
      <c r="AF58">
        <v>297018.43668828503</v>
      </c>
      <c r="AG58">
        <v>176312.44960155219</v>
      </c>
      <c r="AH58">
        <v>101426.56662618324</v>
      </c>
      <c r="AI58">
        <v>18576.631064712241</v>
      </c>
      <c r="AJ58">
        <v>1801294.3028735877</v>
      </c>
      <c r="AK58">
        <v>48826.097215562615</v>
      </c>
      <c r="AL58">
        <v>121189.79032829516</v>
      </c>
      <c r="AM58">
        <v>1968422.9027221659</v>
      </c>
      <c r="AN58">
        <v>1929030.6436825797</v>
      </c>
    </row>
    <row r="59" spans="1:40" x14ac:dyDescent="0.25">
      <c r="A59" s="1">
        <f t="shared" si="0"/>
        <v>41883</v>
      </c>
      <c r="B59" s="6">
        <v>215646.64476727557</v>
      </c>
      <c r="C59" s="6">
        <v>-49911.991074761907</v>
      </c>
      <c r="D59" s="6">
        <v>203926.50350692778</v>
      </c>
      <c r="E59" s="6">
        <v>201180.68264959764</v>
      </c>
      <c r="F59" s="6">
        <v>3345.6908043070948</v>
      </c>
      <c r="G59" s="6">
        <v>170747.63219525694</v>
      </c>
      <c r="H59" s="6">
        <v>126487.56007311588</v>
      </c>
      <c r="I59" s="6">
        <v>77829.575103663577</v>
      </c>
      <c r="J59">
        <v>49251.107704511633</v>
      </c>
      <c r="K59">
        <v>15608.128287752743</v>
      </c>
      <c r="L59">
        <v>1749.5022355467138</v>
      </c>
      <c r="M59">
        <v>6879.458496997755</v>
      </c>
      <c r="N59">
        <v>44927.084470062553</v>
      </c>
      <c r="O59">
        <v>10388.937765625004</v>
      </c>
      <c r="P59">
        <v>17069.628378020618</v>
      </c>
      <c r="Q59">
        <v>5517.4162891098858</v>
      </c>
      <c r="R59">
        <v>6072.5521765047852</v>
      </c>
      <c r="S59">
        <v>190.21869935148067</v>
      </c>
      <c r="T59">
        <v>2959.4606067395898</v>
      </c>
      <c r="U59">
        <v>3520.4501242085967</v>
      </c>
      <c r="V59">
        <v>6339.7781691480868</v>
      </c>
      <c r="W59">
        <v>35628.930507647514</v>
      </c>
      <c r="X59">
        <v>232708.0838494866</v>
      </c>
      <c r="Y59">
        <v>969768.61070019682</v>
      </c>
      <c r="Z59">
        <v>775683.07835234818</v>
      </c>
      <c r="AA59">
        <v>315605.1975570767</v>
      </c>
      <c r="AB59">
        <v>25841.956591393006</v>
      </c>
      <c r="AC59">
        <v>233240.21930443533</v>
      </c>
      <c r="AD59">
        <v>69027.166028362495</v>
      </c>
      <c r="AE59">
        <v>149747.14316446756</v>
      </c>
      <c r="AF59">
        <v>211758.01014639711</v>
      </c>
      <c r="AG59">
        <v>116475.74804171645</v>
      </c>
      <c r="AH59">
        <v>76248.5288508167</v>
      </c>
      <c r="AI59">
        <v>18662.626348087731</v>
      </c>
      <c r="AJ59">
        <v>1619928.9957581777</v>
      </c>
      <c r="AK59">
        <v>43358.227984181263</v>
      </c>
      <c r="AL59">
        <v>124885.49027106269</v>
      </c>
      <c r="AM59">
        <v>1780950.552952274</v>
      </c>
      <c r="AN59">
        <v>1754656.355940477</v>
      </c>
    </row>
    <row r="60" spans="1:40" x14ac:dyDescent="0.25">
      <c r="A60" s="1">
        <f t="shared" si="0"/>
        <v>41974</v>
      </c>
      <c r="B60" s="6">
        <v>250520.89320383148</v>
      </c>
      <c r="C60" s="6">
        <v>-45222.378161763569</v>
      </c>
      <c r="D60" s="6">
        <v>173304.20515242079</v>
      </c>
      <c r="E60" s="6">
        <v>171287.77511946074</v>
      </c>
      <c r="F60" s="6">
        <v>3156.6909232699486</v>
      </c>
      <c r="G60" s="6">
        <v>152495.43655413453</v>
      </c>
      <c r="H60" s="6">
        <v>129255.55381143733</v>
      </c>
      <c r="I60" s="6">
        <v>76896.498130040738</v>
      </c>
      <c r="J60">
        <v>53865.04052049153</v>
      </c>
      <c r="K60">
        <v>13080.789486417672</v>
      </c>
      <c r="L60">
        <v>1715.8116950950109</v>
      </c>
      <c r="M60">
        <v>7142.8999576722445</v>
      </c>
      <c r="N60">
        <v>33400.921332903956</v>
      </c>
      <c r="O60">
        <v>10286.00711662976</v>
      </c>
      <c r="P60">
        <v>17744.975477490523</v>
      </c>
      <c r="Q60">
        <v>5546.0701589412765</v>
      </c>
      <c r="R60">
        <v>7178.8616591723548</v>
      </c>
      <c r="S60">
        <v>198.19876676731846</v>
      </c>
      <c r="T60">
        <v>3108.1898889344639</v>
      </c>
      <c r="U60">
        <v>3450.1515705546799</v>
      </c>
      <c r="V60">
        <v>7076.2382243027832</v>
      </c>
      <c r="W60">
        <v>35459.756267123892</v>
      </c>
      <c r="X60">
        <v>239799.30370891944</v>
      </c>
      <c r="Y60">
        <v>1001651.6198734904</v>
      </c>
      <c r="Z60">
        <v>781623.87776441942</v>
      </c>
      <c r="AA60">
        <v>316323.44508179073</v>
      </c>
      <c r="AB60">
        <v>26251.249917954898</v>
      </c>
      <c r="AC60">
        <v>235999.43239567097</v>
      </c>
      <c r="AD60">
        <v>63390.012596316315</v>
      </c>
      <c r="AE60">
        <v>155904.92208857724</v>
      </c>
      <c r="AF60">
        <v>236376.39626731793</v>
      </c>
      <c r="AG60">
        <v>132541.32031081049</v>
      </c>
      <c r="AH60">
        <v>84280.468985252213</v>
      </c>
      <c r="AI60">
        <v>19212.672496023195</v>
      </c>
      <c r="AJ60">
        <v>1606219.0758571464</v>
      </c>
      <c r="AK60">
        <v>52014.666327810468</v>
      </c>
      <c r="AL60">
        <v>121397.09020183768</v>
      </c>
      <c r="AM60">
        <v>1770623.226649638</v>
      </c>
      <c r="AN60">
        <v>1823817.9189525032</v>
      </c>
    </row>
    <row r="61" spans="1:40" x14ac:dyDescent="0.25">
      <c r="A61" s="1">
        <f t="shared" si="0"/>
        <v>42064</v>
      </c>
      <c r="B61" s="6">
        <v>260443.97579351868</v>
      </c>
      <c r="C61" s="6">
        <v>-54935.376330619292</v>
      </c>
      <c r="D61" s="6">
        <v>211748.77646576747</v>
      </c>
      <c r="E61" s="6">
        <v>209183.15196276907</v>
      </c>
      <c r="F61" s="6">
        <v>3067.7299735716588</v>
      </c>
      <c r="G61" s="6">
        <v>161724.13767732418</v>
      </c>
      <c r="H61" s="6">
        <v>139731.40790359827</v>
      </c>
      <c r="I61" s="6">
        <v>86505.582214686234</v>
      </c>
      <c r="J61">
        <v>53933.278839868981</v>
      </c>
      <c r="K61">
        <v>21685.225521759839</v>
      </c>
      <c r="L61">
        <v>2220.9502901360847</v>
      </c>
      <c r="M61">
        <v>7269.2651109367234</v>
      </c>
      <c r="N61">
        <v>38459.085449958817</v>
      </c>
      <c r="O61">
        <v>11175.191253641395</v>
      </c>
      <c r="P61">
        <v>17635.30895852785</v>
      </c>
      <c r="Q61">
        <v>5943.8795562932473</v>
      </c>
      <c r="R61">
        <v>5131.1059438393122</v>
      </c>
      <c r="S61">
        <v>172.42549803982118</v>
      </c>
      <c r="T61">
        <v>3206.5776608711035</v>
      </c>
      <c r="U61">
        <v>3853.5011932327884</v>
      </c>
      <c r="V61">
        <v>6173.0539621345724</v>
      </c>
      <c r="W61">
        <v>37005.343315339182</v>
      </c>
      <c r="X61">
        <v>237563.18079551365</v>
      </c>
      <c r="Y61">
        <v>1031874.8628051871</v>
      </c>
      <c r="Z61">
        <v>807926.91854530352</v>
      </c>
      <c r="AA61">
        <v>324565.65326928551</v>
      </c>
      <c r="AB61">
        <v>23290.113725257052</v>
      </c>
      <c r="AC61">
        <v>253669.64589873154</v>
      </c>
      <c r="AD61">
        <v>74799.84759443326</v>
      </c>
      <c r="AE61">
        <v>154431.37251029033</v>
      </c>
      <c r="AF61">
        <v>233988.25706798729</v>
      </c>
      <c r="AG61">
        <v>133044.29666718867</v>
      </c>
      <c r="AH61">
        <v>81013.272449728101</v>
      </c>
      <c r="AI61">
        <v>19706.84433713766</v>
      </c>
      <c r="AJ61">
        <v>1716172.127064415</v>
      </c>
      <c r="AK61">
        <v>54123.794999445396</v>
      </c>
      <c r="AL61">
        <v>131588.46990299266</v>
      </c>
      <c r="AM61">
        <v>1895222.3139130622</v>
      </c>
      <c r="AN61">
        <v>1890140.0761211752</v>
      </c>
    </row>
    <row r="62" spans="1:40" x14ac:dyDescent="0.25">
      <c r="A62" s="1">
        <f t="shared" si="0"/>
        <v>42156</v>
      </c>
      <c r="B62" s="6">
        <v>261571.84894087777</v>
      </c>
      <c r="C62" s="6">
        <v>-54733.291141019312</v>
      </c>
      <c r="D62" s="6">
        <v>235920.58099024647</v>
      </c>
      <c r="E62" s="6">
        <v>233407.57521489463</v>
      </c>
      <c r="F62" s="6">
        <v>3197.3344274944147</v>
      </c>
      <c r="G62" s="6">
        <v>176560.79261996743</v>
      </c>
      <c r="H62" s="6">
        <v>134250.4905797008</v>
      </c>
      <c r="I62" s="6">
        <v>80959.200027661253</v>
      </c>
      <c r="J62">
        <v>54245.37310282109</v>
      </c>
      <c r="K62">
        <v>16273.28120359169</v>
      </c>
      <c r="L62">
        <v>2060.4960674990698</v>
      </c>
      <c r="M62">
        <v>7293.3760172834709</v>
      </c>
      <c r="N62">
        <v>46894.685844023013</v>
      </c>
      <c r="O62">
        <v>10095.648147377928</v>
      </c>
      <c r="P62">
        <v>17551.561067204741</v>
      </c>
      <c r="Q62">
        <v>6248.962285313225</v>
      </c>
      <c r="R62">
        <v>6260.2704968234693</v>
      </c>
      <c r="S62">
        <v>198.29683215905897</v>
      </c>
      <c r="T62">
        <v>3026.8175481688095</v>
      </c>
      <c r="U62">
        <v>3798.3320139232719</v>
      </c>
      <c r="V62">
        <v>7056.3165944929042</v>
      </c>
      <c r="W62">
        <v>38584.896230144266</v>
      </c>
      <c r="X62">
        <v>245847.78894572824</v>
      </c>
      <c r="Y62">
        <v>1128504.2637024452</v>
      </c>
      <c r="Z62">
        <v>821694.67458427302</v>
      </c>
      <c r="AA62">
        <v>328784.98033472401</v>
      </c>
      <c r="AB62">
        <v>23844.685173713078</v>
      </c>
      <c r="AC62">
        <v>255210.68895433831</v>
      </c>
      <c r="AD62">
        <v>74893.520035787151</v>
      </c>
      <c r="AE62">
        <v>157902.09781834454</v>
      </c>
      <c r="AF62">
        <v>309287.66999078036</v>
      </c>
      <c r="AG62">
        <v>183893.88493441889</v>
      </c>
      <c r="AH62">
        <v>104773.64332484729</v>
      </c>
      <c r="AI62">
        <v>20137.068074148072</v>
      </c>
      <c r="AJ62">
        <v>1855333.1319597957</v>
      </c>
      <c r="AK62">
        <v>58884.273241968505</v>
      </c>
      <c r="AL62">
        <v>129915.45523193243</v>
      </c>
      <c r="AM62">
        <v>2037317.7043174414</v>
      </c>
      <c r="AN62">
        <v>2009906.5539289077</v>
      </c>
    </row>
    <row r="63" spans="1:40" x14ac:dyDescent="0.25">
      <c r="A63" s="1">
        <f t="shared" si="0"/>
        <v>42248</v>
      </c>
      <c r="B63" s="6">
        <v>232682.72970389033</v>
      </c>
      <c r="C63" s="6">
        <v>-52158.030673126188</v>
      </c>
      <c r="D63" s="6">
        <v>199644.04693328225</v>
      </c>
      <c r="E63" s="6">
        <v>196955.88831395609</v>
      </c>
      <c r="F63" s="6">
        <v>3308.8882054597166</v>
      </c>
      <c r="G63" s="6">
        <v>161698.00768890831</v>
      </c>
      <c r="H63" s="6">
        <v>130360.89683553527</v>
      </c>
      <c r="I63" s="6">
        <v>79696.043643646743</v>
      </c>
      <c r="J63">
        <v>51319.654228101113</v>
      </c>
      <c r="K63">
        <v>16091.980264673077</v>
      </c>
      <c r="L63">
        <v>1688.2696573025789</v>
      </c>
      <c r="M63">
        <v>7457.3330107455658</v>
      </c>
      <c r="N63">
        <v>39895.251009415566</v>
      </c>
      <c r="O63">
        <v>9630.5453087343794</v>
      </c>
      <c r="P63">
        <v>17769.483141519464</v>
      </c>
      <c r="Q63">
        <v>6102.2624157555347</v>
      </c>
      <c r="R63">
        <v>6333.6719200944908</v>
      </c>
      <c r="S63">
        <v>186.60454406380254</v>
      </c>
      <c r="T63">
        <v>2956.50114613285</v>
      </c>
      <c r="U63">
        <v>3531.011474581223</v>
      </c>
      <c r="V63">
        <v>6764.5433064810077</v>
      </c>
      <c r="W63">
        <v>38229.842434705781</v>
      </c>
      <c r="X63">
        <v>244110.77995811144</v>
      </c>
      <c r="Y63">
        <v>1009618.332907088</v>
      </c>
      <c r="Z63">
        <v>808800.66875998012</v>
      </c>
      <c r="AA63">
        <v>325388.95868134609</v>
      </c>
      <c r="AB63">
        <v>25195.907676608185</v>
      </c>
      <c r="AC63">
        <v>243036.30851522158</v>
      </c>
      <c r="AD63">
        <v>72202.415665667169</v>
      </c>
      <c r="AE63">
        <v>160978.17890180266</v>
      </c>
      <c r="AF63">
        <v>219804.15862299173</v>
      </c>
      <c r="AG63">
        <v>120901.82646730165</v>
      </c>
      <c r="AH63">
        <v>78688.481774042855</v>
      </c>
      <c r="AI63">
        <v>20342.262719415623</v>
      </c>
      <c r="AJ63">
        <v>1658807.2916563742</v>
      </c>
      <c r="AK63">
        <v>51943.157125049154</v>
      </c>
      <c r="AL63">
        <v>132378.61968732646</v>
      </c>
      <c r="AM63">
        <v>1832598.1189878897</v>
      </c>
      <c r="AN63">
        <v>1823925.0871314565</v>
      </c>
    </row>
    <row r="64" spans="1:40" x14ac:dyDescent="0.25">
      <c r="A64" s="1">
        <f t="shared" si="0"/>
        <v>42339</v>
      </c>
      <c r="B64" s="6">
        <v>269309.96019411884</v>
      </c>
      <c r="C64" s="6">
        <v>-47076.495666395873</v>
      </c>
      <c r="D64" s="6">
        <v>184568.97848732813</v>
      </c>
      <c r="E64" s="6">
        <v>182421.48050222569</v>
      </c>
      <c r="F64" s="6">
        <v>3238.7648872749674</v>
      </c>
      <c r="G64" s="6">
        <v>148378.05976717288</v>
      </c>
      <c r="H64" s="6">
        <v>132880.04200140556</v>
      </c>
      <c r="I64" s="6">
        <v>78782.817308676313</v>
      </c>
      <c r="J64">
        <v>55696.451898188228</v>
      </c>
      <c r="K64">
        <v>13760.990539711389</v>
      </c>
      <c r="L64">
        <v>1700.3693898391557</v>
      </c>
      <c r="M64">
        <v>7592.9026550055969</v>
      </c>
      <c r="N64">
        <v>31129.658682266483</v>
      </c>
      <c r="O64">
        <v>9730.5627323317531</v>
      </c>
      <c r="P64">
        <v>17709.485526535544</v>
      </c>
      <c r="Q64">
        <v>6056.3086135638741</v>
      </c>
      <c r="R64">
        <v>7537.8047421309748</v>
      </c>
      <c r="S64">
        <v>208.3069038724517</v>
      </c>
      <c r="T64">
        <v>3251.1666238254493</v>
      </c>
      <c r="U64">
        <v>3501.9038441130001</v>
      </c>
      <c r="V64">
        <v>7458.3550884151355</v>
      </c>
      <c r="W64">
        <v>37161.824567945834</v>
      </c>
      <c r="X64">
        <v>252029.0681980743</v>
      </c>
      <c r="Y64">
        <v>1035771.744599796</v>
      </c>
      <c r="Z64">
        <v>809817.4991662479</v>
      </c>
      <c r="AA64">
        <v>322333.59053834475</v>
      </c>
      <c r="AB64">
        <v>24308.657424026231</v>
      </c>
      <c r="AC64">
        <v>248035.40344785014</v>
      </c>
      <c r="AD64">
        <v>66432.733200939503</v>
      </c>
      <c r="AE64">
        <v>165415.12233598047</v>
      </c>
      <c r="AF64">
        <v>243711.72838578504</v>
      </c>
      <c r="AG64">
        <v>136517.55992013481</v>
      </c>
      <c r="AH64">
        <v>86808.883054809776</v>
      </c>
      <c r="AI64">
        <v>20384.645518280617</v>
      </c>
      <c r="AJ64">
        <v>1670467.8388914326</v>
      </c>
      <c r="AK64">
        <v>47541.405023618776</v>
      </c>
      <c r="AL64">
        <v>121154.29602143404</v>
      </c>
      <c r="AM64">
        <v>1834365.6628090248</v>
      </c>
      <c r="AN64">
        <v>1880628.2860343391</v>
      </c>
    </row>
    <row r="65" spans="1:40" x14ac:dyDescent="0.25">
      <c r="A65" s="1">
        <f t="shared" si="0"/>
        <v>42430</v>
      </c>
      <c r="B65" s="6">
        <v>275028.83843795571</v>
      </c>
      <c r="C65" s="6">
        <v>-57077.856007513437</v>
      </c>
      <c r="D65" s="6">
        <v>220218.72752439821</v>
      </c>
      <c r="E65" s="6">
        <v>217550.47804127986</v>
      </c>
      <c r="F65" s="6">
        <v>3135.2200329902353</v>
      </c>
      <c r="G65" s="6">
        <v>164311.72388016136</v>
      </c>
      <c r="H65" s="6">
        <v>145987.72706628451</v>
      </c>
      <c r="I65" s="6">
        <v>90314.979535178805</v>
      </c>
      <c r="J65">
        <v>56414.209666502953</v>
      </c>
      <c r="K65">
        <v>22032.189130107996</v>
      </c>
      <c r="L65">
        <v>2305.3464011612559</v>
      </c>
      <c r="M65">
        <v>7603.651306039812</v>
      </c>
      <c r="N65">
        <v>33920.913366863679</v>
      </c>
      <c r="O65">
        <v>11253.417592416881</v>
      </c>
      <c r="P65">
        <v>18146.732918325157</v>
      </c>
      <c r="Q65">
        <v>6425.3338003530007</v>
      </c>
      <c r="R65">
        <v>5628.823220391725</v>
      </c>
      <c r="S65">
        <v>171.90822154570171</v>
      </c>
      <c r="T65">
        <v>3591.3669801756364</v>
      </c>
      <c r="U65">
        <v>4019.2017445417982</v>
      </c>
      <c r="V65">
        <v>6679.2443870296083</v>
      </c>
      <c r="W65">
        <v>39077.642540998175</v>
      </c>
      <c r="X65">
        <v>247778.39756972072</v>
      </c>
      <c r="Y65">
        <v>1056776.1952281445</v>
      </c>
      <c r="Z65">
        <v>830686.75942803116</v>
      </c>
      <c r="AA65">
        <v>330083.26937486324</v>
      </c>
      <c r="AB65">
        <v>24291.588615443099</v>
      </c>
      <c r="AC65">
        <v>260772.39598389604</v>
      </c>
      <c r="AD65">
        <v>78689.439669343788</v>
      </c>
      <c r="AE65">
        <v>160608.62741070197</v>
      </c>
      <c r="AF65">
        <v>237678.2322167478</v>
      </c>
      <c r="AG65">
        <v>134241.69533719338</v>
      </c>
      <c r="AH65">
        <v>82795.564443622134</v>
      </c>
      <c r="AI65">
        <v>20889.254997365919</v>
      </c>
      <c r="AJ65">
        <v>1776238.1515116689</v>
      </c>
      <c r="AK65">
        <v>56992.356134416012</v>
      </c>
      <c r="AL65">
        <v>135799.3009398884</v>
      </c>
      <c r="AM65">
        <v>1961555.094900019</v>
      </c>
      <c r="AN65">
        <v>1954968.2818841294</v>
      </c>
    </row>
    <row r="66" spans="1:40" x14ac:dyDescent="0.25">
      <c r="A66" s="1">
        <f t="shared" si="0"/>
        <v>42522</v>
      </c>
      <c r="B66" s="6">
        <v>274127.29769003991</v>
      </c>
      <c r="C66" s="6">
        <v>-56648.95633095497</v>
      </c>
      <c r="D66" s="6">
        <v>247952.53062074899</v>
      </c>
      <c r="E66" s="6">
        <v>245311.36155085429</v>
      </c>
      <c r="F66" s="6">
        <v>3232.5051061968525</v>
      </c>
      <c r="G66" s="6">
        <v>181857.61639856646</v>
      </c>
      <c r="H66" s="6">
        <v>139999.79952676498</v>
      </c>
      <c r="I66" s="6">
        <v>84117.477194398307</v>
      </c>
      <c r="J66">
        <v>56903.396384859319</v>
      </c>
      <c r="K66">
        <v>16484.833859238384</v>
      </c>
      <c r="L66">
        <v>2212.9727764940017</v>
      </c>
      <c r="M66">
        <v>7563.2309299229591</v>
      </c>
      <c r="N66">
        <v>48770.473277783938</v>
      </c>
      <c r="O66">
        <v>10661.004443631091</v>
      </c>
      <c r="P66">
        <v>18060.556338153674</v>
      </c>
      <c r="Q66">
        <v>6667.6427584292096</v>
      </c>
      <c r="R66">
        <v>6692.2291611042883</v>
      </c>
      <c r="S66">
        <v>191.3564430334919</v>
      </c>
      <c r="T66">
        <v>3238.6947765406262</v>
      </c>
      <c r="U66">
        <v>3855.3069941321205</v>
      </c>
      <c r="V66">
        <v>7190.3866097882683</v>
      </c>
      <c r="W66">
        <v>40359.8014567309</v>
      </c>
      <c r="X66">
        <v>270678.4156292468</v>
      </c>
      <c r="Y66">
        <v>1149927.9474160355</v>
      </c>
      <c r="Z66">
        <v>843677.26424206304</v>
      </c>
      <c r="AA66">
        <v>332401.61511840596</v>
      </c>
      <c r="AB66">
        <v>24631.559784445606</v>
      </c>
      <c r="AC66">
        <v>264143.06306774018</v>
      </c>
      <c r="AD66">
        <v>78787.983077648081</v>
      </c>
      <c r="AE66">
        <v>162639.16075289491</v>
      </c>
      <c r="AF66">
        <v>309357.98329069541</v>
      </c>
      <c r="AG66">
        <v>181871.05220014029</v>
      </c>
      <c r="AH66">
        <v>106030.92704474548</v>
      </c>
      <c r="AI66">
        <v>21123.784409781332</v>
      </c>
      <c r="AJ66">
        <v>1918414.4584464286</v>
      </c>
      <c r="AK66">
        <v>46518.575861155121</v>
      </c>
      <c r="AL66">
        <v>129525.70886623661</v>
      </c>
      <c r="AM66">
        <v>2092325.2823340124</v>
      </c>
      <c r="AN66">
        <v>2056546.0719690199</v>
      </c>
    </row>
    <row r="67" spans="1:40" x14ac:dyDescent="0.25">
      <c r="A67" s="1">
        <f t="shared" si="0"/>
        <v>42614</v>
      </c>
      <c r="B67" s="6">
        <v>237569.06702767202</v>
      </c>
      <c r="C67" s="6">
        <v>-53774.929623993099</v>
      </c>
      <c r="D67" s="6">
        <v>224799.1968468758</v>
      </c>
      <c r="E67" s="6">
        <v>221969.28612982857</v>
      </c>
      <c r="F67" s="6">
        <v>3375.065969568911</v>
      </c>
      <c r="G67" s="6">
        <v>175118.94232708769</v>
      </c>
      <c r="H67" s="6">
        <v>136980.59780937998</v>
      </c>
      <c r="I67" s="6">
        <v>83475.932521776631</v>
      </c>
      <c r="J67">
        <v>54193.554864874772</v>
      </c>
      <c r="K67">
        <v>16124.164225202427</v>
      </c>
      <c r="L67">
        <v>1819.9546905721804</v>
      </c>
      <c r="M67">
        <v>7733.2543321431513</v>
      </c>
      <c r="N67">
        <v>45919.433911837317</v>
      </c>
      <c r="O67">
        <v>10497.294386520474</v>
      </c>
      <c r="P67">
        <v>18142.642287491373</v>
      </c>
      <c r="Q67">
        <v>6450.0913734535998</v>
      </c>
      <c r="R67">
        <v>7005.0411436245067</v>
      </c>
      <c r="S67">
        <v>204.70518483799137</v>
      </c>
      <c r="T67">
        <v>3204.8472424080096</v>
      </c>
      <c r="U67">
        <v>3601.6317040728468</v>
      </c>
      <c r="V67">
        <v>7102.7704718050591</v>
      </c>
      <c r="W67">
        <v>39300.278022877537</v>
      </c>
      <c r="X67">
        <v>258269.20519568189</v>
      </c>
      <c r="Y67">
        <v>1043144.5333597626</v>
      </c>
      <c r="Z67">
        <v>832260.85950131051</v>
      </c>
      <c r="AA67">
        <v>331896.73785497301</v>
      </c>
      <c r="AB67">
        <v>25473.06266105087</v>
      </c>
      <c r="AC67">
        <v>252514.72454731524</v>
      </c>
      <c r="AD67">
        <v>75451.524370622195</v>
      </c>
      <c r="AE67">
        <v>164680.67701654407</v>
      </c>
      <c r="AF67">
        <v>228825.96614244953</v>
      </c>
      <c r="AG67">
        <v>126100.60500539561</v>
      </c>
      <c r="AH67">
        <v>81678.644081456485</v>
      </c>
      <c r="AI67">
        <v>21115.268702753419</v>
      </c>
      <c r="AJ67">
        <v>1743406.4635308487</v>
      </c>
      <c r="AK67">
        <v>41294.80991441408</v>
      </c>
      <c r="AL67">
        <v>134099.54174326168</v>
      </c>
      <c r="AM67">
        <v>1913232.4362233568</v>
      </c>
      <c r="AN67">
        <v>1884369.3316990309</v>
      </c>
    </row>
    <row r="68" spans="1:40" x14ac:dyDescent="0.25">
      <c r="A68" s="1">
        <f t="shared" si="0"/>
        <v>42705</v>
      </c>
      <c r="B68" s="6">
        <v>253959.29246305401</v>
      </c>
      <c r="C68" s="6">
        <v>-48347.561049388569</v>
      </c>
      <c r="D68" s="6">
        <v>234218.03370041936</v>
      </c>
      <c r="E68" s="6">
        <v>232040.12319883108</v>
      </c>
      <c r="F68" s="6">
        <v>3297.0626552459171</v>
      </c>
      <c r="G68" s="6">
        <v>156687.23111413454</v>
      </c>
      <c r="H68" s="6">
        <v>140526.0581414839</v>
      </c>
      <c r="I68" s="6">
        <v>83042.612902389825</v>
      </c>
      <c r="J68">
        <v>59205.328367774084</v>
      </c>
      <c r="K68">
        <v>14063.732331585037</v>
      </c>
      <c r="L68">
        <v>1810.8934001787006</v>
      </c>
      <c r="M68">
        <v>8018.1052036859101</v>
      </c>
      <c r="N68">
        <v>33277.605131342876</v>
      </c>
      <c r="O68">
        <v>10800.924632888247</v>
      </c>
      <c r="P68">
        <v>18028.256266013181</v>
      </c>
      <c r="Q68">
        <v>6334.8988097878128</v>
      </c>
      <c r="R68">
        <v>8291.5852163440741</v>
      </c>
      <c r="S68">
        <v>226.42960450935496</v>
      </c>
      <c r="T68">
        <v>3537.269286722089</v>
      </c>
      <c r="U68">
        <v>3631.4742863451806</v>
      </c>
      <c r="V68">
        <v>7719.3975165096645</v>
      </c>
      <c r="W68">
        <v>40023.28505967767</v>
      </c>
      <c r="X68">
        <v>268915.01576734526</v>
      </c>
      <c r="Y68">
        <v>1061549.3426743876</v>
      </c>
      <c r="Z68">
        <v>833855.2055343705</v>
      </c>
      <c r="AA68">
        <v>329424.92953018832</v>
      </c>
      <c r="AB68">
        <v>25572.707610075595</v>
      </c>
      <c r="AC68">
        <v>257212.71337542057</v>
      </c>
      <c r="AD68">
        <v>68558.580663369576</v>
      </c>
      <c r="AE68">
        <v>169715.91551671593</v>
      </c>
      <c r="AF68">
        <v>248147.53692915756</v>
      </c>
      <c r="AG68">
        <v>138701.84087885701</v>
      </c>
      <c r="AH68">
        <v>88545.060715905987</v>
      </c>
      <c r="AI68">
        <v>21220.415984530122</v>
      </c>
      <c r="AJ68">
        <v>1765684.5057082442</v>
      </c>
      <c r="AK68">
        <v>37177.378728469885</v>
      </c>
      <c r="AL68">
        <v>123698.53623788415</v>
      </c>
      <c r="AM68">
        <v>1924249.580286667</v>
      </c>
      <c r="AN68">
        <v>1921557.8421243143</v>
      </c>
    </row>
    <row r="69" spans="1:40" x14ac:dyDescent="0.25">
      <c r="A69" s="1">
        <f t="shared" si="0"/>
        <v>42795</v>
      </c>
      <c r="B69" s="6">
        <v>264302.71373887541</v>
      </c>
      <c r="C69" s="6">
        <v>-58390.646695686242</v>
      </c>
      <c r="D69" s="6">
        <v>239818.19427406968</v>
      </c>
      <c r="E69" s="6">
        <v>237130.02106499503</v>
      </c>
      <c r="F69" s="6">
        <v>3103.8678326603326</v>
      </c>
      <c r="G69" s="6">
        <v>185836.55970846253</v>
      </c>
      <c r="H69" s="6">
        <v>154765.00854721499</v>
      </c>
      <c r="I69" s="6">
        <v>94665.262062772075</v>
      </c>
      <c r="J69">
        <v>60870.932230156679</v>
      </c>
      <c r="K69">
        <v>23221.927343133826</v>
      </c>
      <c r="L69">
        <v>2420.6137212193189</v>
      </c>
      <c r="M69">
        <v>8265.1689696652757</v>
      </c>
      <c r="N69">
        <v>43724.057329887277</v>
      </c>
      <c r="O69">
        <v>12491.293527582739</v>
      </c>
      <c r="P69">
        <v>18164.879651243482</v>
      </c>
      <c r="Q69">
        <v>6643.7951495650022</v>
      </c>
      <c r="R69">
        <v>6118.5308405658052</v>
      </c>
      <c r="S69">
        <v>191.50575880191172</v>
      </c>
      <c r="T69">
        <v>3408.2072641866789</v>
      </c>
      <c r="U69">
        <v>3979.0097270963797</v>
      </c>
      <c r="V69">
        <v>6826.1877635442597</v>
      </c>
      <c r="W69">
        <v>41578.611663622054</v>
      </c>
      <c r="X69">
        <v>269830.67495342577</v>
      </c>
      <c r="Y69">
        <v>1082990.6570352479</v>
      </c>
      <c r="Z69">
        <v>857417.5664106569</v>
      </c>
      <c r="AA69">
        <v>337675.18457048509</v>
      </c>
      <c r="AB69">
        <v>23004.134418824611</v>
      </c>
      <c r="AC69">
        <v>274071.78817907476</v>
      </c>
      <c r="AD69">
        <v>79869.781264383942</v>
      </c>
      <c r="AE69">
        <v>165748.10348784443</v>
      </c>
      <c r="AF69">
        <v>239826.56554632762</v>
      </c>
      <c r="AG69">
        <v>135181.3872045537</v>
      </c>
      <c r="AH69">
        <v>83457.928959171113</v>
      </c>
      <c r="AI69">
        <v>21787.492962252654</v>
      </c>
      <c r="AJ69">
        <v>1852616.392026671</v>
      </c>
      <c r="AK69">
        <v>46562.754961817867</v>
      </c>
      <c r="AL69">
        <v>138651.08625962606</v>
      </c>
      <c r="AM69">
        <v>2034132.6334113192</v>
      </c>
      <c r="AN69">
        <v>2016830.7714671213</v>
      </c>
    </row>
    <row r="70" spans="1:40" x14ac:dyDescent="0.25">
      <c r="A70" s="1">
        <f t="shared" si="0"/>
        <v>42887</v>
      </c>
      <c r="B70" s="6">
        <v>260695.06010322794</v>
      </c>
      <c r="C70" s="6">
        <v>-57781.935457574073</v>
      </c>
      <c r="D70" s="6">
        <v>236794.66674281526</v>
      </c>
      <c r="E70" s="6">
        <v>234027.03891951498</v>
      </c>
      <c r="F70" s="6">
        <v>3222.8075908782612</v>
      </c>
      <c r="G70" s="6">
        <v>199679.66280562597</v>
      </c>
      <c r="H70" s="6">
        <v>148925.36637833144</v>
      </c>
      <c r="I70" s="6">
        <v>88352.102024718086</v>
      </c>
      <c r="J70">
        <v>61683.281681187509</v>
      </c>
      <c r="K70">
        <v>17556.348060088876</v>
      </c>
      <c r="L70">
        <v>2261.6581775768695</v>
      </c>
      <c r="M70">
        <v>8342.2437157050226</v>
      </c>
      <c r="N70">
        <v>56720.060422062714</v>
      </c>
      <c r="O70">
        <v>11759.087901325092</v>
      </c>
      <c r="P70">
        <v>18403.706908578592</v>
      </c>
      <c r="Q70">
        <v>6807.6632563562225</v>
      </c>
      <c r="R70">
        <v>7093.7629107705452</v>
      </c>
      <c r="S70">
        <v>220.63397881761614</v>
      </c>
      <c r="T70">
        <v>3170.6821862332727</v>
      </c>
      <c r="U70">
        <v>3936.2684410088955</v>
      </c>
      <c r="V70">
        <v>7161.6250633491163</v>
      </c>
      <c r="W70">
        <v>43669.305176182832</v>
      </c>
      <c r="X70">
        <v>284212.33641070913</v>
      </c>
      <c r="Y70">
        <v>1177005.8585009933</v>
      </c>
      <c r="Z70">
        <v>871148.05088544521</v>
      </c>
      <c r="AA70">
        <v>342373.66357195814</v>
      </c>
      <c r="AB70">
        <v>23005.876838672197</v>
      </c>
      <c r="AC70">
        <v>276821.93009499164</v>
      </c>
      <c r="AD70">
        <v>79103.135009958671</v>
      </c>
      <c r="AE70">
        <v>168168.89221849336</v>
      </c>
      <c r="AF70">
        <v>309688.26642466686</v>
      </c>
      <c r="AG70">
        <v>181325.43904353987</v>
      </c>
      <c r="AH70">
        <v>106030.92704474548</v>
      </c>
      <c r="AI70">
        <v>22222.221199089963</v>
      </c>
      <c r="AJ70">
        <v>1949109.0897815716</v>
      </c>
      <c r="AK70">
        <v>39075.603723370303</v>
      </c>
      <c r="AL70">
        <v>130302.86311943403</v>
      </c>
      <c r="AM70">
        <v>2117433.18572202</v>
      </c>
      <c r="AN70">
        <v>2095499.0920332798</v>
      </c>
    </row>
    <row r="71" spans="1:40" x14ac:dyDescent="0.25">
      <c r="A71" s="1">
        <f t="shared" ref="A71:A90" si="1">EDATE(A70,3)</f>
        <v>42979</v>
      </c>
      <c r="B71" s="6">
        <v>227116.02807845437</v>
      </c>
      <c r="C71" s="6">
        <v>-54850.428216472959</v>
      </c>
      <c r="D71" s="6">
        <v>196024.89965047568</v>
      </c>
      <c r="E71" s="6">
        <v>193335.24821908065</v>
      </c>
      <c r="F71" s="6">
        <v>3391.9412994167551</v>
      </c>
      <c r="G71" s="6">
        <v>189478.6955979089</v>
      </c>
      <c r="H71" s="6">
        <v>145665.49719125536</v>
      </c>
      <c r="I71" s="6">
        <v>88015.712697182767</v>
      </c>
      <c r="J71">
        <v>58366.45858947013</v>
      </c>
      <c r="K71">
        <v>17510.842348569837</v>
      </c>
      <c r="L71">
        <v>1852.7138750024797</v>
      </c>
      <c r="M71">
        <v>8429.247222036036</v>
      </c>
      <c r="N71">
        <v>51383.846547345966</v>
      </c>
      <c r="O71">
        <v>11442.050881307317</v>
      </c>
      <c r="P71">
        <v>18414.781921803744</v>
      </c>
      <c r="Q71">
        <v>6508.1421958146802</v>
      </c>
      <c r="R71">
        <v>7390.3184065238547</v>
      </c>
      <c r="S71">
        <v>239.09565589077388</v>
      </c>
      <c r="T71">
        <v>3317.0168958922895</v>
      </c>
      <c r="U71">
        <v>3796.1198160927815</v>
      </c>
      <c r="V71">
        <v>7209.3120288821356</v>
      </c>
      <c r="W71">
        <v>43308.906381211054</v>
      </c>
      <c r="X71">
        <v>282029.97207368462</v>
      </c>
      <c r="Y71">
        <v>1063491.1745397113</v>
      </c>
      <c r="Z71">
        <v>854871.48475783214</v>
      </c>
      <c r="AA71">
        <v>341189.84651491221</v>
      </c>
      <c r="AB71">
        <v>25574.954911695073</v>
      </c>
      <c r="AC71">
        <v>259837.65155918742</v>
      </c>
      <c r="AD71">
        <v>75602.427419363434</v>
      </c>
      <c r="AE71">
        <v>170609.18138913965</v>
      </c>
      <c r="AF71">
        <v>229728.71824490873</v>
      </c>
      <c r="AG71">
        <v>126226.705610401</v>
      </c>
      <c r="AH71">
        <v>81842.001369619393</v>
      </c>
      <c r="AI71">
        <v>22339.954287513123</v>
      </c>
      <c r="AJ71">
        <v>1762583.9346296878</v>
      </c>
      <c r="AK71">
        <v>42822.717881247387</v>
      </c>
      <c r="AL71">
        <v>134770.03945197799</v>
      </c>
      <c r="AM71">
        <v>1934277.9930218137</v>
      </c>
      <c r="AN71">
        <v>1937824.9435694178</v>
      </c>
    </row>
    <row r="72" spans="1:40" x14ac:dyDescent="0.25">
      <c r="A72" s="1">
        <f t="shared" si="1"/>
        <v>43070</v>
      </c>
      <c r="B72" s="6">
        <v>246848.4322740885</v>
      </c>
      <c r="C72" s="6">
        <v>-49556.250075623269</v>
      </c>
      <c r="D72" s="6">
        <v>196743.14830835225</v>
      </c>
      <c r="E72" s="6">
        <v>194449.62324062045</v>
      </c>
      <c r="F72" s="6">
        <v>3363.0039083508359</v>
      </c>
      <c r="G72" s="6">
        <v>171729.20530109148</v>
      </c>
      <c r="H72" s="6">
        <v>147602.0412334236</v>
      </c>
      <c r="I72" s="6">
        <v>86252.71348040062</v>
      </c>
      <c r="J72">
        <v>63231.290696782729</v>
      </c>
      <c r="K72">
        <v>14668.472821843196</v>
      </c>
      <c r="L72">
        <v>1810.8934001787006</v>
      </c>
      <c r="M72">
        <v>8282.702675407545</v>
      </c>
      <c r="N72">
        <v>39300.851660115935</v>
      </c>
      <c r="O72">
        <v>11546.188432557536</v>
      </c>
      <c r="P72">
        <v>18515.019185195535</v>
      </c>
      <c r="Q72">
        <v>6303.224315738873</v>
      </c>
      <c r="R72">
        <v>8573.4991136997705</v>
      </c>
      <c r="S72">
        <v>276.92340631494108</v>
      </c>
      <c r="T72">
        <v>3791.9526753660803</v>
      </c>
      <c r="U72">
        <v>3907.4663321074149</v>
      </c>
      <c r="V72">
        <v>7873.7854668398586</v>
      </c>
      <c r="W72">
        <v>43545.334144929315</v>
      </c>
      <c r="X72">
        <v>295268.68731254508</v>
      </c>
      <c r="Y72">
        <v>1081210.2888377339</v>
      </c>
      <c r="Z72">
        <v>860109.041075913</v>
      </c>
      <c r="AA72">
        <v>343590.2014999864</v>
      </c>
      <c r="AB72">
        <v>25061.253457874085</v>
      </c>
      <c r="AC72">
        <v>263900.24392318144</v>
      </c>
      <c r="AD72">
        <v>69381.283631330007</v>
      </c>
      <c r="AE72">
        <v>176165.12030635111</v>
      </c>
      <c r="AF72">
        <v>248065.98366016487</v>
      </c>
      <c r="AG72">
        <v>138008.33167446268</v>
      </c>
      <c r="AH72">
        <v>88722.150837337787</v>
      </c>
      <c r="AI72">
        <v>22536.081775570994</v>
      </c>
      <c r="AJ72">
        <v>1776278.6127424934</v>
      </c>
      <c r="AK72">
        <v>30634.160072259187</v>
      </c>
      <c r="AL72">
        <v>125554.0142814524</v>
      </c>
      <c r="AM72">
        <v>1930022.3290275265</v>
      </c>
      <c r="AN72">
        <v>1973923.820047521</v>
      </c>
    </row>
    <row r="73" spans="1:40" x14ac:dyDescent="0.25">
      <c r="A73" s="1">
        <f t="shared" si="1"/>
        <v>43160</v>
      </c>
      <c r="B73" s="6">
        <v>266945.74087626417</v>
      </c>
      <c r="C73" s="6">
        <v>-60492.709976730956</v>
      </c>
      <c r="D73" s="6">
        <v>220392.92053787003</v>
      </c>
      <c r="E73" s="6">
        <v>217448.22931660045</v>
      </c>
      <c r="F73" s="6">
        <v>3553.9286683960809</v>
      </c>
      <c r="G73" s="6">
        <v>198659.28232834642</v>
      </c>
      <c r="H73" s="6">
        <v>157481.15796143597</v>
      </c>
      <c r="I73" s="6">
        <v>95413.978375139966</v>
      </c>
      <c r="J73">
        <v>62818.802061521696</v>
      </c>
      <c r="K73">
        <v>23384.48083453576</v>
      </c>
      <c r="L73">
        <v>2439.9786309890737</v>
      </c>
      <c r="M73">
        <v>8058.5397454236454</v>
      </c>
      <c r="N73">
        <v>51725.559821256647</v>
      </c>
      <c r="O73">
        <v>13053.40173632396</v>
      </c>
      <c r="P73">
        <v>18346.528447755914</v>
      </c>
      <c r="Q73">
        <v>6477.7002708258779</v>
      </c>
      <c r="R73">
        <v>6051.2270013195803</v>
      </c>
      <c r="S73">
        <v>224.25324355703862</v>
      </c>
      <c r="T73">
        <v>3469.5549949420388</v>
      </c>
      <c r="U73">
        <v>4233.6663496305482</v>
      </c>
      <c r="V73">
        <v>6785.2306369629941</v>
      </c>
      <c r="W73">
        <v>44738.586150057337</v>
      </c>
      <c r="X73">
        <v>296004.25042390818</v>
      </c>
      <c r="Y73">
        <v>1118002.9480045275</v>
      </c>
      <c r="Z73">
        <v>888117.59043698746</v>
      </c>
      <c r="AA73">
        <v>348818.46566131111</v>
      </c>
      <c r="AB73">
        <v>23165.163359756381</v>
      </c>
      <c r="AC73">
        <v>285034.65970623773</v>
      </c>
      <c r="AD73">
        <v>82505.484046108584</v>
      </c>
      <c r="AE73">
        <v>172212.27952387035</v>
      </c>
      <c r="AF73">
        <v>245694.34976818252</v>
      </c>
      <c r="AG73">
        <v>138425.740497463</v>
      </c>
      <c r="AH73">
        <v>85294.003396272878</v>
      </c>
      <c r="AI73">
        <v>22833.292624440779</v>
      </c>
      <c r="AJ73">
        <v>1904489.6510034178</v>
      </c>
      <c r="AK73">
        <v>39298.965187774287</v>
      </c>
      <c r="AL73">
        <v>135739.4134481739</v>
      </c>
      <c r="AM73">
        <v>2078883.5513463684</v>
      </c>
      <c r="AN73">
        <v>2088829.1290981735</v>
      </c>
    </row>
    <row r="74" spans="1:40" x14ac:dyDescent="0.25">
      <c r="A74" s="1">
        <f t="shared" si="1"/>
        <v>43252</v>
      </c>
      <c r="B74" s="6">
        <v>269558.69214673771</v>
      </c>
      <c r="C74" s="6">
        <v>-60035.430940419443</v>
      </c>
      <c r="D74" s="6">
        <v>196302.77872979382</v>
      </c>
      <c r="E74" s="6">
        <v>193072.30710859981</v>
      </c>
      <c r="F74" s="6">
        <v>3844.8094559177671</v>
      </c>
      <c r="G74" s="6">
        <v>205670.05268979474</v>
      </c>
      <c r="H74" s="6">
        <v>150350.76490992904</v>
      </c>
      <c r="I74" s="6">
        <v>88499.549668367079</v>
      </c>
      <c r="J74">
        <v>62978.63059649244</v>
      </c>
      <c r="K74">
        <v>17503.679015908612</v>
      </c>
      <c r="L74">
        <v>2311.4146574835609</v>
      </c>
      <c r="M74">
        <v>7883.4203113412468</v>
      </c>
      <c r="N74">
        <v>60009.823926542347</v>
      </c>
      <c r="O74">
        <v>12100.101450463519</v>
      </c>
      <c r="P74">
        <v>17998.825356589863</v>
      </c>
      <c r="Q74">
        <v>6691.9329809981673</v>
      </c>
      <c r="R74">
        <v>7164.7005398782512</v>
      </c>
      <c r="S74">
        <v>231.66567775849694</v>
      </c>
      <c r="T74">
        <v>3256.2906052615717</v>
      </c>
      <c r="U74">
        <v>4192.1258896744739</v>
      </c>
      <c r="V74">
        <v>7433.7668157563812</v>
      </c>
      <c r="W74">
        <v>45372.408078053952</v>
      </c>
      <c r="X74">
        <v>302686.13827740517</v>
      </c>
      <c r="Y74">
        <v>1222941.6328509774</v>
      </c>
      <c r="Z74">
        <v>908487.1536331129</v>
      </c>
      <c r="AA74">
        <v>354014.36813340476</v>
      </c>
      <c r="AB74">
        <v>25467.505660410119</v>
      </c>
      <c r="AC74">
        <v>289555.73887936131</v>
      </c>
      <c r="AD74">
        <v>82662.776085406818</v>
      </c>
      <c r="AE74">
        <v>174391.1412305776</v>
      </c>
      <c r="AF74">
        <v>318643.04651591118</v>
      </c>
      <c r="AG74">
        <v>186402.55133675897</v>
      </c>
      <c r="AH74">
        <v>108999.79300199835</v>
      </c>
      <c r="AI74">
        <v>23199.998931849917</v>
      </c>
      <c r="AJ74">
        <v>1976396.6170385142</v>
      </c>
      <c r="AK74">
        <v>29345.778396251091</v>
      </c>
      <c r="AL74">
        <v>131866.49747686725</v>
      </c>
      <c r="AM74">
        <v>2138607.5175792403</v>
      </c>
      <c r="AN74">
        <v>2166332.0457196683</v>
      </c>
    </row>
    <row r="75" spans="1:40" x14ac:dyDescent="0.25">
      <c r="A75" s="1">
        <f t="shared" si="1"/>
        <v>43344</v>
      </c>
      <c r="B75" s="6">
        <v>237336.24934198477</v>
      </c>
      <c r="C75" s="6">
        <v>-57044.445345131884</v>
      </c>
      <c r="D75" s="6">
        <v>173874.08598997194</v>
      </c>
      <c r="E75" s="6">
        <v>170715.02417744821</v>
      </c>
      <c r="F75" s="6">
        <v>4070.3295593001058</v>
      </c>
      <c r="G75" s="6">
        <v>186257.55777274448</v>
      </c>
      <c r="H75" s="6">
        <v>149354.44821139157</v>
      </c>
      <c r="I75" s="6">
        <v>88972.926272977245</v>
      </c>
      <c r="J75">
        <v>61051.315684585767</v>
      </c>
      <c r="K75">
        <v>17615.907402661254</v>
      </c>
      <c r="L75">
        <v>1873.0937276275067</v>
      </c>
      <c r="M75">
        <v>7965.6386248240533</v>
      </c>
      <c r="N75">
        <v>47221.754977010933</v>
      </c>
      <c r="O75">
        <v>11670.891898933463</v>
      </c>
      <c r="P75">
        <v>18856.736687927034</v>
      </c>
      <c r="Q75">
        <v>6560.2073333811986</v>
      </c>
      <c r="R75">
        <v>7412.4893617434263</v>
      </c>
      <c r="S75">
        <v>244.3557603203709</v>
      </c>
      <c r="T75">
        <v>3618.865433418488</v>
      </c>
      <c r="U75">
        <v>4046.6637239549045</v>
      </c>
      <c r="V75">
        <v>7274.1958371420724</v>
      </c>
      <c r="W75">
        <v>44045.157789691635</v>
      </c>
      <c r="X75">
        <v>305720.48972787423</v>
      </c>
      <c r="Y75">
        <v>1099068.4959497764</v>
      </c>
      <c r="Z75">
        <v>883220.58481827879</v>
      </c>
      <c r="AA75">
        <v>350743.16221732972</v>
      </c>
      <c r="AB75">
        <v>28413.774906893224</v>
      </c>
      <c r="AC75">
        <v>266853.26815128536</v>
      </c>
      <c r="AD75">
        <v>79533.753645170334</v>
      </c>
      <c r="AE75">
        <v>176068.67519359212</v>
      </c>
      <c r="AF75">
        <v>237561.06527282292</v>
      </c>
      <c r="AG75">
        <v>130518.41360115461</v>
      </c>
      <c r="AH75">
        <v>84542.787414816834</v>
      </c>
      <c r="AI75">
        <v>23300.572321876189</v>
      </c>
      <c r="AJ75">
        <v>1796073.0293876517</v>
      </c>
      <c r="AK75">
        <v>37898.10532490394</v>
      </c>
      <c r="AL75">
        <v>135713.42972814178</v>
      </c>
      <c r="AM75">
        <v>1963292.1629171411</v>
      </c>
      <c r="AN75">
        <v>1998566.4099384972</v>
      </c>
    </row>
    <row r="76" spans="1:40" x14ac:dyDescent="0.25">
      <c r="A76" s="1">
        <f t="shared" si="1"/>
        <v>43435</v>
      </c>
      <c r="B76" s="6">
        <v>257956.61172642244</v>
      </c>
      <c r="C76" s="6">
        <v>-51389.831328421329</v>
      </c>
      <c r="D76" s="6">
        <v>172740.48421473327</v>
      </c>
      <c r="E76" s="6">
        <v>170143.42033554291</v>
      </c>
      <c r="F76" s="6">
        <v>3914.5365493203726</v>
      </c>
      <c r="G76" s="6">
        <v>175335.51861241442</v>
      </c>
      <c r="H76" s="6">
        <v>151385.34658018273</v>
      </c>
      <c r="I76" s="6">
        <v>88205.308054185472</v>
      </c>
      <c r="J76">
        <v>65128.229417686205</v>
      </c>
      <c r="K76">
        <v>15152.532424964016</v>
      </c>
      <c r="L76">
        <v>1845.3003747820958</v>
      </c>
      <c r="M76">
        <v>8191.5929459780627</v>
      </c>
      <c r="N76">
        <v>39772.461880037328</v>
      </c>
      <c r="O76">
        <v>11754.019824343572</v>
      </c>
      <c r="P76">
        <v>18996.409684010621</v>
      </c>
      <c r="Q76">
        <v>6656.2048774202513</v>
      </c>
      <c r="R76">
        <v>9019.3210676121598</v>
      </c>
      <c r="S76">
        <v>278.58494675283072</v>
      </c>
      <c r="T76">
        <v>3515.140130064357</v>
      </c>
      <c r="U76">
        <v>3946.5409954284887</v>
      </c>
      <c r="V76">
        <v>8141.4941727124133</v>
      </c>
      <c r="W76">
        <v>44329.150159538047</v>
      </c>
      <c r="X76">
        <v>315051.6893624856</v>
      </c>
      <c r="Y76">
        <v>1108524.0213392475</v>
      </c>
      <c r="Z76">
        <v>881231.98429642129</v>
      </c>
      <c r="AA76">
        <v>348400.46432098624</v>
      </c>
      <c r="AB76">
        <v>25888.274821983923</v>
      </c>
      <c r="AC76">
        <v>272081.1514848001</v>
      </c>
      <c r="AD76">
        <v>73058.491663790497</v>
      </c>
      <c r="AE76">
        <v>180216.91807339716</v>
      </c>
      <c r="AF76">
        <v>254618.5227956771</v>
      </c>
      <c r="AG76">
        <v>141458.53996632426</v>
      </c>
      <c r="AH76">
        <v>91117.648909945914</v>
      </c>
      <c r="AI76">
        <v>23527.669373696117</v>
      </c>
      <c r="AJ76">
        <v>1801146.5133208886</v>
      </c>
      <c r="AK76">
        <v>27111.231663949377</v>
      </c>
      <c r="AL76">
        <v>125051.79822432659</v>
      </c>
      <c r="AM76">
        <v>1951252.5746468294</v>
      </c>
      <c r="AN76">
        <v>2034356.518684708</v>
      </c>
    </row>
    <row r="77" spans="1:40" x14ac:dyDescent="0.25">
      <c r="A77" s="1">
        <f t="shared" si="1"/>
        <v>43525</v>
      </c>
      <c r="B77" s="6">
        <v>274954.11310255213</v>
      </c>
      <c r="C77" s="6">
        <v>-62609.954825916531</v>
      </c>
      <c r="D77" s="6">
        <v>203422.66565645402</v>
      </c>
      <c r="E77" s="6">
        <v>200487.26742990562</v>
      </c>
      <c r="F77" s="6">
        <v>3720.9633158106967</v>
      </c>
      <c r="G77" s="6">
        <v>191706.20744685433</v>
      </c>
      <c r="H77" s="6">
        <v>164717.81982978332</v>
      </c>
      <c r="I77" s="6">
        <v>100933.2677681823</v>
      </c>
      <c r="J77">
        <v>64640.547321305814</v>
      </c>
      <c r="K77">
        <v>25652.775475485731</v>
      </c>
      <c r="L77">
        <v>2547.3376907525931</v>
      </c>
      <c r="M77">
        <v>8316.4130172772038</v>
      </c>
      <c r="N77">
        <v>41690.801215932857</v>
      </c>
      <c r="O77">
        <v>13431.950386677354</v>
      </c>
      <c r="P77">
        <v>19007.00347187513</v>
      </c>
      <c r="Q77">
        <v>7293.8905049499372</v>
      </c>
      <c r="R77">
        <v>6620.0423394436211</v>
      </c>
      <c r="S77">
        <v>253.85467170656773</v>
      </c>
      <c r="T77">
        <v>3674.2587396436193</v>
      </c>
      <c r="U77">
        <v>4407.2466699653996</v>
      </c>
      <c r="V77">
        <v>6866.6534046065508</v>
      </c>
      <c r="W77">
        <v>46438.652423759515</v>
      </c>
      <c r="X77">
        <v>310508.4586946796</v>
      </c>
      <c r="Y77">
        <v>1151231.2036768575</v>
      </c>
      <c r="Z77">
        <v>919356.68436606356</v>
      </c>
      <c r="AA77">
        <v>356143.65344019863</v>
      </c>
      <c r="AB77">
        <v>26663.103027079596</v>
      </c>
      <c r="AC77">
        <v>296436.04609448725</v>
      </c>
      <c r="AD77">
        <v>86713.263732460124</v>
      </c>
      <c r="AE77">
        <v>175484.31283482388</v>
      </c>
      <c r="AF77">
        <v>249653.632856599</v>
      </c>
      <c r="AG77">
        <v>140225.27512393001</v>
      </c>
      <c r="AH77">
        <v>86829.29545740578</v>
      </c>
      <c r="AI77">
        <v>23723.791036793966</v>
      </c>
      <c r="AJ77">
        <v>1933056.9957684681</v>
      </c>
      <c r="AK77">
        <v>41499.707238289644</v>
      </c>
      <c r="AL77">
        <v>139811.59585161912</v>
      </c>
      <c r="AM77">
        <v>2112145.6881679106</v>
      </c>
      <c r="AN77">
        <v>2151451.244192563</v>
      </c>
    </row>
    <row r="78" spans="1:40" x14ac:dyDescent="0.25">
      <c r="A78" s="1">
        <f t="shared" si="1"/>
        <v>43617</v>
      </c>
      <c r="B78" s="6">
        <v>275488.98337396589</v>
      </c>
      <c r="C78" s="6">
        <v>-61956.564730512866</v>
      </c>
      <c r="D78" s="6">
        <v>167249.96747778432</v>
      </c>
      <c r="E78" s="6">
        <v>164111.46104230985</v>
      </c>
      <c r="F78" s="6">
        <v>3798.6717424467533</v>
      </c>
      <c r="G78" s="6">
        <v>210811.80400703955</v>
      </c>
      <c r="H78" s="6">
        <v>157867.07939324761</v>
      </c>
      <c r="I78" s="6">
        <v>94552.367625714425</v>
      </c>
      <c r="J78">
        <v>64490.117730808277</v>
      </c>
      <c r="K78">
        <v>19201.535880451745</v>
      </c>
      <c r="L78">
        <v>2401.5598291254196</v>
      </c>
      <c r="M78">
        <v>8356.4255300217228</v>
      </c>
      <c r="N78">
        <v>59529.745335129999</v>
      </c>
      <c r="O78">
        <v>12499.404798328815</v>
      </c>
      <c r="P78">
        <v>18772.774846923228</v>
      </c>
      <c r="Q78">
        <v>7628.8035983379114</v>
      </c>
      <c r="R78">
        <v>8053.1234068231543</v>
      </c>
      <c r="S78">
        <v>289.58209719812118</v>
      </c>
      <c r="T78">
        <v>3412.592554314127</v>
      </c>
      <c r="U78">
        <v>4380.7715547098251</v>
      </c>
      <c r="V78">
        <v>7693.9486543078547</v>
      </c>
      <c r="W78">
        <v>47822.518114268867</v>
      </c>
      <c r="X78">
        <v>316912.38677644316</v>
      </c>
      <c r="Y78">
        <v>1248432.3697356186</v>
      </c>
      <c r="Z78">
        <v>928041.25604294101</v>
      </c>
      <c r="AA78">
        <v>361802.68423233967</v>
      </c>
      <c r="AB78">
        <v>24601.610467956179</v>
      </c>
      <c r="AC78">
        <v>297084.18809022463</v>
      </c>
      <c r="AD78">
        <v>86465.263785335526</v>
      </c>
      <c r="AE78">
        <v>177007.00834903624</v>
      </c>
      <c r="AF78">
        <v>324660.98143872141</v>
      </c>
      <c r="AG78">
        <v>189571.39470948384</v>
      </c>
      <c r="AH78">
        <v>111070.78906903633</v>
      </c>
      <c r="AI78">
        <v>24035.198893396522</v>
      </c>
      <c r="AJ78">
        <v>1976396.6170385142</v>
      </c>
      <c r="AK78">
        <v>34833.438956350044</v>
      </c>
      <c r="AL78">
        <v>133185.16245163593</v>
      </c>
      <c r="AM78">
        <v>2142884.7326143985</v>
      </c>
      <c r="AN78">
        <v>2223290.2812946769</v>
      </c>
    </row>
    <row r="79" spans="1:40" x14ac:dyDescent="0.25">
      <c r="A79" s="1">
        <f t="shared" si="1"/>
        <v>43709</v>
      </c>
      <c r="B79" s="6">
        <v>242557.64682750846</v>
      </c>
      <c r="C79" s="6">
        <v>-58641.689814795587</v>
      </c>
      <c r="D79" s="6">
        <v>160485.78136874412</v>
      </c>
      <c r="E79" s="6">
        <v>157569.96731578471</v>
      </c>
      <c r="F79" s="6">
        <v>3915.6570360467022</v>
      </c>
      <c r="G79" s="6">
        <v>203206.99553006422</v>
      </c>
      <c r="H79" s="6">
        <v>153344.36140537914</v>
      </c>
      <c r="I79" s="6">
        <v>93324.786416902381</v>
      </c>
      <c r="J79">
        <v>60807.110421847428</v>
      </c>
      <c r="K79">
        <v>18162.000532143749</v>
      </c>
      <c r="L79">
        <v>1959.2560390983722</v>
      </c>
      <c r="M79">
        <v>8379.8518333149041</v>
      </c>
      <c r="N79">
        <v>56807.771237344146</v>
      </c>
      <c r="O79">
        <v>12067.702223497199</v>
      </c>
      <c r="P79">
        <v>19252.728158373498</v>
      </c>
      <c r="Q79">
        <v>7203.1076520525557</v>
      </c>
      <c r="R79">
        <v>8168.5632766412564</v>
      </c>
      <c r="S79">
        <v>317.90684417680251</v>
      </c>
      <c r="T79">
        <v>3893.8992063582937</v>
      </c>
      <c r="U79">
        <v>4281.3702199442887</v>
      </c>
      <c r="V79">
        <v>7557.8894747906133</v>
      </c>
      <c r="W79">
        <v>46423.596310334986</v>
      </c>
      <c r="X79">
        <v>320700.7937245401</v>
      </c>
      <c r="Y79">
        <v>1121156.3127185712</v>
      </c>
      <c r="Z79">
        <v>905647.28846515669</v>
      </c>
      <c r="AA79">
        <v>357758.02546167636</v>
      </c>
      <c r="AB79">
        <v>29806.049877330985</v>
      </c>
      <c r="AC79">
        <v>274858.866195824</v>
      </c>
      <c r="AD79">
        <v>82158.367515460966</v>
      </c>
      <c r="AE79">
        <v>179237.91134707679</v>
      </c>
      <c r="AF79">
        <v>239382.32345930341</v>
      </c>
      <c r="AG79">
        <v>130909.96884195806</v>
      </c>
      <c r="AH79">
        <v>85557.300863794648</v>
      </c>
      <c r="AI79">
        <v>24046.190636176227</v>
      </c>
      <c r="AJ79">
        <v>1821218.0517990789</v>
      </c>
      <c r="AK79">
        <v>38883.456063351434</v>
      </c>
      <c r="AL79">
        <v>132456.3074146664</v>
      </c>
      <c r="AM79">
        <v>1986851.6688721466</v>
      </c>
      <c r="AN79">
        <v>2052044.5979830096</v>
      </c>
    </row>
    <row r="80" spans="1:40" x14ac:dyDescent="0.25">
      <c r="A80" s="1">
        <f t="shared" si="1"/>
        <v>43800</v>
      </c>
      <c r="B80" s="6">
        <v>265953.26668994146</v>
      </c>
      <c r="C80" s="6">
        <v>-52880.13643694554</v>
      </c>
      <c r="D80" s="6">
        <v>165830.86484614393</v>
      </c>
      <c r="E80" s="6">
        <v>163337.68352212117</v>
      </c>
      <c r="F80" s="6">
        <v>3765.7841604461978</v>
      </c>
      <c r="G80" s="6">
        <v>176913.53827992614</v>
      </c>
      <c r="H80" s="6">
        <v>151135.65952657946</v>
      </c>
      <c r="I80" s="6">
        <v>86991.753619404903</v>
      </c>
      <c r="J80">
        <v>66170.281088369185</v>
      </c>
      <c r="K80">
        <v>14334.295674015959</v>
      </c>
      <c r="L80">
        <v>1941.2559942707649</v>
      </c>
      <c r="M80">
        <v>8289.8920613297978</v>
      </c>
      <c r="N80">
        <v>40965.635736438453</v>
      </c>
      <c r="O80">
        <v>12094.886399249533</v>
      </c>
      <c r="P80">
        <v>17780.63946423394</v>
      </c>
      <c r="Q80">
        <v>6689.4859018073503</v>
      </c>
      <c r="R80">
        <v>9289.9006996405242</v>
      </c>
      <c r="S80">
        <v>328.17306727483452</v>
      </c>
      <c r="T80">
        <v>3086.2930341965061</v>
      </c>
      <c r="U80">
        <v>3741.3208636662071</v>
      </c>
      <c r="V80">
        <v>8377.5975037210737</v>
      </c>
      <c r="W80">
        <v>45703.353814483722</v>
      </c>
      <c r="X80">
        <v>328283.86031571002</v>
      </c>
      <c r="Y80">
        <v>1110334.9465845744</v>
      </c>
      <c r="Z80">
        <v>872309.73128471663</v>
      </c>
      <c r="AA80">
        <v>354671.67267876404</v>
      </c>
      <c r="AB80">
        <v>14600.986999598936</v>
      </c>
      <c r="AC80">
        <v>270720.74572737608</v>
      </c>
      <c r="AD80">
        <v>74519.661497066307</v>
      </c>
      <c r="AE80">
        <v>184722.34102523205</v>
      </c>
      <c r="AF80">
        <v>260452.0900382348</v>
      </c>
      <c r="AG80">
        <v>144570.62784558337</v>
      </c>
      <c r="AH80">
        <v>93304.47248378463</v>
      </c>
      <c r="AI80">
        <v>24162.916446785912</v>
      </c>
      <c r="AJ80">
        <v>1810152.245887493</v>
      </c>
      <c r="AK80">
        <v>38985.951132759204</v>
      </c>
      <c r="AL80">
        <v>116798.37954152099</v>
      </c>
      <c r="AM80">
        <v>1964911.3426693571</v>
      </c>
      <c r="AN80">
        <v>2064462.9608207841</v>
      </c>
    </row>
    <row r="81" spans="1:40" x14ac:dyDescent="0.25">
      <c r="A81" s="1">
        <f t="shared" si="1"/>
        <v>43891</v>
      </c>
      <c r="B81" s="6">
        <v>282652.82826942368</v>
      </c>
      <c r="C81" s="6">
        <v>-64175.203696564437</v>
      </c>
      <c r="D81" s="6">
        <v>149312.23659183722</v>
      </c>
      <c r="E81" s="6">
        <v>146756.67975869091</v>
      </c>
      <c r="F81" s="6">
        <v>3687.4746459684006</v>
      </c>
      <c r="G81" s="6">
        <v>203208.57989366559</v>
      </c>
      <c r="H81" s="6">
        <v>153030.85030111735</v>
      </c>
      <c r="I81" s="6">
        <v>87963.676070706264</v>
      </c>
      <c r="J81">
        <v>65610.155531125391</v>
      </c>
      <c r="K81">
        <v>20163.081523731784</v>
      </c>
      <c r="L81">
        <v>2381.7607408536746</v>
      </c>
      <c r="M81">
        <v>7626.1507368431967</v>
      </c>
      <c r="N81">
        <v>58075.286093794479</v>
      </c>
      <c r="O81">
        <v>13619.997692090839</v>
      </c>
      <c r="P81">
        <v>16289.001975396985</v>
      </c>
      <c r="Q81">
        <v>6323.803067791594</v>
      </c>
      <c r="R81">
        <v>5329.1340832521155</v>
      </c>
      <c r="S81">
        <v>233.29244329833574</v>
      </c>
      <c r="T81">
        <v>2965.1268028924005</v>
      </c>
      <c r="U81">
        <v>4098.7394030678206</v>
      </c>
      <c r="V81">
        <v>5747.3888996556825</v>
      </c>
      <c r="W81">
        <v>46113.581856793193</v>
      </c>
      <c r="X81">
        <v>321686.76320768811</v>
      </c>
      <c r="Y81">
        <v>1130522.4020259525</v>
      </c>
      <c r="Z81">
        <v>888028.50568884134</v>
      </c>
      <c r="AA81">
        <v>351157.6422920358</v>
      </c>
      <c r="AB81">
        <v>17091.049040358022</v>
      </c>
      <c r="AC81">
        <v>281614.2437897629</v>
      </c>
      <c r="AD81">
        <v>86539.837204995201</v>
      </c>
      <c r="AE81">
        <v>182328.20103538196</v>
      </c>
      <c r="AF81">
        <v>250323.13299888404</v>
      </c>
      <c r="AG81">
        <v>139804.59929855823</v>
      </c>
      <c r="AH81">
        <v>88131.734889266882</v>
      </c>
      <c r="AI81">
        <v>23296.762798131676</v>
      </c>
      <c r="AJ81">
        <v>1861533.8869250347</v>
      </c>
      <c r="AK81">
        <v>38428.728902656221</v>
      </c>
      <c r="AL81">
        <v>126249.87105401205</v>
      </c>
      <c r="AM81">
        <v>2025547.714953026</v>
      </c>
      <c r="AN81">
        <v>2127282.5426077098</v>
      </c>
    </row>
    <row r="82" spans="1:40" x14ac:dyDescent="0.25">
      <c r="A82" s="1">
        <f t="shared" si="1"/>
        <v>43983</v>
      </c>
      <c r="B82" s="6">
        <v>280723.27405807126</v>
      </c>
      <c r="C82" s="6">
        <v>-63071.782895662102</v>
      </c>
      <c r="D82" s="6">
        <v>130956.72453510515</v>
      </c>
      <c r="E82" s="6">
        <v>128006.93961300167</v>
      </c>
      <c r="F82" s="6">
        <v>3821.4637729014344</v>
      </c>
      <c r="G82" s="6">
        <v>227887.56013160979</v>
      </c>
      <c r="H82" s="6">
        <v>140316.92139974877</v>
      </c>
      <c r="I82" s="6">
        <v>76617.935593133676</v>
      </c>
      <c r="J82">
        <v>64877.058437193125</v>
      </c>
      <c r="K82">
        <v>13748.299690403452</v>
      </c>
      <c r="L82">
        <v>2178.2147650167558</v>
      </c>
      <c r="M82">
        <v>7119.6745515785069</v>
      </c>
      <c r="N82">
        <v>90842.391381408379</v>
      </c>
      <c r="O82">
        <v>12636.898251110431</v>
      </c>
      <c r="P82">
        <v>14774.173804528578</v>
      </c>
      <c r="Q82">
        <v>6225.1037362437364</v>
      </c>
      <c r="R82">
        <v>6015.6831848968959</v>
      </c>
      <c r="S82">
        <v>255.12182763154473</v>
      </c>
      <c r="T82">
        <v>1907.6392378615972</v>
      </c>
      <c r="U82">
        <v>3583.4711317526371</v>
      </c>
      <c r="V82">
        <v>6239.7923586436709</v>
      </c>
      <c r="W82">
        <v>43996.716665127358</v>
      </c>
      <c r="X82">
        <v>252896.08464760162</v>
      </c>
      <c r="Y82">
        <v>1120583.6188248098</v>
      </c>
      <c r="Z82">
        <v>809397.2651223276</v>
      </c>
      <c r="AA82">
        <v>325622.41580910573</v>
      </c>
      <c r="AB82">
        <v>2706.1771514751799</v>
      </c>
      <c r="AC82">
        <v>248956.54961960821</v>
      </c>
      <c r="AD82">
        <v>84822.42377341415</v>
      </c>
      <c r="AE82">
        <v>184795.31671639389</v>
      </c>
      <c r="AF82">
        <v>315638.82743352308</v>
      </c>
      <c r="AG82">
        <v>182936.39589465191</v>
      </c>
      <c r="AH82">
        <v>111292.93064717439</v>
      </c>
      <c r="AI82">
        <v>21271.151020655921</v>
      </c>
      <c r="AJ82">
        <v>1782709.7485687395</v>
      </c>
      <c r="AK82">
        <v>29887.090624548342</v>
      </c>
      <c r="AL82">
        <v>110543.68483485781</v>
      </c>
      <c r="AM82">
        <v>1924310.48988773</v>
      </c>
      <c r="AN82">
        <v>2029283.9015478513</v>
      </c>
    </row>
    <row r="83" spans="1:40" x14ac:dyDescent="0.25">
      <c r="A83" s="1">
        <f t="shared" si="1"/>
        <v>44075</v>
      </c>
      <c r="B83" s="6">
        <v>245710.89623626604</v>
      </c>
      <c r="C83" s="6">
        <v>-59228.10671294354</v>
      </c>
      <c r="D83" s="6">
        <v>117957.04930602692</v>
      </c>
      <c r="E83" s="6">
        <v>115183.64610783865</v>
      </c>
      <c r="F83" s="6">
        <v>3943.0666352990288</v>
      </c>
      <c r="G83" s="6">
        <v>203206.99553006422</v>
      </c>
      <c r="H83" s="6">
        <v>138720.39233491145</v>
      </c>
      <c r="I83" s="6">
        <v>76898.070667201755</v>
      </c>
      <c r="J83">
        <v>61780.024188596974</v>
      </c>
      <c r="K83">
        <v>13094.802383675646</v>
      </c>
      <c r="L83">
        <v>1796.6377878532071</v>
      </c>
      <c r="M83">
        <v>7265.331539484022</v>
      </c>
      <c r="N83">
        <v>69987.174164408003</v>
      </c>
      <c r="O83">
        <v>12272.853161296653</v>
      </c>
      <c r="P83">
        <v>16384.071662775848</v>
      </c>
      <c r="Q83">
        <v>6029.0011047679882</v>
      </c>
      <c r="R83">
        <v>5922.2083755649119</v>
      </c>
      <c r="S83">
        <v>264.18058751092286</v>
      </c>
      <c r="T83">
        <v>2480.4137944502327</v>
      </c>
      <c r="U83">
        <v>3592.0696145332577</v>
      </c>
      <c r="V83">
        <v>5796.9012271644006</v>
      </c>
      <c r="W83">
        <v>47630.609814403695</v>
      </c>
      <c r="X83">
        <v>337056.53420449165</v>
      </c>
      <c r="Y83">
        <v>1087414.8709805661</v>
      </c>
      <c r="Z83">
        <v>858428.78605657746</v>
      </c>
      <c r="AA83">
        <v>348456.31679967279</v>
      </c>
      <c r="AB83">
        <v>8405.3060654073397</v>
      </c>
      <c r="AC83">
        <v>260291.34628744522</v>
      </c>
      <c r="AD83">
        <v>79940.091592543497</v>
      </c>
      <c r="AE83">
        <v>187124.37944634818</v>
      </c>
      <c r="AF83">
        <v>244353.6367395609</v>
      </c>
      <c r="AG83">
        <v>133266.34828111331</v>
      </c>
      <c r="AH83">
        <v>88380.691792299869</v>
      </c>
      <c r="AI83">
        <v>23493.128251544174</v>
      </c>
      <c r="AJ83">
        <v>1748369.3297271156</v>
      </c>
      <c r="AK83">
        <v>27412.836524662765</v>
      </c>
      <c r="AL83">
        <v>118151.02621388243</v>
      </c>
      <c r="AM83">
        <v>1893469.6404351557</v>
      </c>
      <c r="AN83">
        <v>2011698.403562635</v>
      </c>
    </row>
    <row r="84" spans="1:40" x14ac:dyDescent="0.25">
      <c r="A84" s="1">
        <f t="shared" si="1"/>
        <v>44166</v>
      </c>
      <c r="B84" s="6">
        <v>279782.8365578184</v>
      </c>
      <c r="C84" s="6">
        <v>-52615.735754760819</v>
      </c>
      <c r="D84" s="6">
        <v>149911.1018209141</v>
      </c>
      <c r="E84" s="6">
        <v>147493.92822047541</v>
      </c>
      <c r="F84" s="6">
        <v>3713.0631821999509</v>
      </c>
      <c r="G84" s="6">
        <v>176913.53827992617</v>
      </c>
      <c r="H84" s="6">
        <v>142487.21165696942</v>
      </c>
      <c r="I84" s="6">
        <v>77771.027747416098</v>
      </c>
      <c r="J84">
        <v>66898.15418034124</v>
      </c>
      <c r="K84">
        <v>11195.084921406466</v>
      </c>
      <c r="L84">
        <v>1809.2505866603528</v>
      </c>
      <c r="M84">
        <v>7245.3656616022445</v>
      </c>
      <c r="N84">
        <v>46782.756011012701</v>
      </c>
      <c r="O84">
        <v>12481.922764025516</v>
      </c>
      <c r="P84">
        <v>15984.794878346309</v>
      </c>
      <c r="Q84">
        <v>6254.6693181898727</v>
      </c>
      <c r="R84">
        <v>7580.558970906668</v>
      </c>
      <c r="S84">
        <v>305.85729870014575</v>
      </c>
      <c r="T84">
        <v>3117.1559645384709</v>
      </c>
      <c r="U84">
        <v>3864.7844521671914</v>
      </c>
      <c r="V84">
        <v>6928.2731355773276</v>
      </c>
      <c r="W84">
        <v>46480.310829329937</v>
      </c>
      <c r="X84">
        <v>347652.60807433689</v>
      </c>
      <c r="Y84">
        <v>1091050.2540059311</v>
      </c>
      <c r="Z84">
        <v>847949.34169504594</v>
      </c>
      <c r="AA84">
        <v>346868.89587983117</v>
      </c>
      <c r="AB84">
        <v>8848.198121756961</v>
      </c>
      <c r="AC84">
        <v>263682.00633846439</v>
      </c>
      <c r="AD84">
        <v>72284.071652154336</v>
      </c>
      <c r="AE84">
        <v>191187.62296111515</v>
      </c>
      <c r="AF84">
        <v>270133.83188120287</v>
      </c>
      <c r="AG84">
        <v>149341.45856448758</v>
      </c>
      <c r="AH84">
        <v>97503.173745554916</v>
      </c>
      <c r="AI84">
        <v>24936.129773083063</v>
      </c>
      <c r="AJ84">
        <v>1808342.0936416059</v>
      </c>
      <c r="AK84">
        <v>22027.062390008949</v>
      </c>
      <c r="AL84">
        <v>108622.4929736145</v>
      </c>
      <c r="AM84">
        <v>1941332.4065573243</v>
      </c>
      <c r="AN84">
        <v>2067703.9913421036</v>
      </c>
    </row>
    <row r="85" spans="1:40" x14ac:dyDescent="0.25">
      <c r="A85" s="1">
        <f t="shared" si="1"/>
        <v>44256</v>
      </c>
      <c r="B85" s="6">
        <v>278413.03584538231</v>
      </c>
      <c r="C85" s="6">
        <v>-62699.174011543451</v>
      </c>
      <c r="D85" s="6">
        <v>171261.13537083732</v>
      </c>
      <c r="E85" s="6">
        <v>168916.93840225326</v>
      </c>
      <c r="F85" s="6">
        <v>3521.5382868998227</v>
      </c>
      <c r="G85" s="6">
        <v>215604.3032671792</v>
      </c>
      <c r="H85" s="6">
        <v>156276.91198671859</v>
      </c>
      <c r="I85" s="6">
        <v>88375.243015368163</v>
      </c>
      <c r="J85">
        <v>68300.171907901531</v>
      </c>
      <c r="K85">
        <v>19477.536751924901</v>
      </c>
      <c r="L85">
        <v>2479.4129312286746</v>
      </c>
      <c r="M85">
        <v>7176.2078433694469</v>
      </c>
      <c r="N85">
        <v>62779.384267391819</v>
      </c>
      <c r="O85">
        <v>14355.477567463746</v>
      </c>
      <c r="P85">
        <v>16012.088941815238</v>
      </c>
      <c r="Q85">
        <v>7177.5164819434594</v>
      </c>
      <c r="R85">
        <v>5425.058496750652</v>
      </c>
      <c r="S85">
        <v>254.28876319518596</v>
      </c>
      <c r="T85">
        <v>2890.9986328200903</v>
      </c>
      <c r="U85">
        <v>4201.2078881445168</v>
      </c>
      <c r="V85">
        <v>5408.2929545759971</v>
      </c>
      <c r="W85">
        <v>48096.465876635295</v>
      </c>
      <c r="X85">
        <v>339057.84842090332</v>
      </c>
      <c r="Y85">
        <v>1131295.8599853879</v>
      </c>
      <c r="Z85">
        <v>868010.43667048216</v>
      </c>
      <c r="AA85">
        <v>350455.32700745168</v>
      </c>
      <c r="AB85">
        <v>8904.4365500265303</v>
      </c>
      <c r="AC85">
        <v>273729.04496364953</v>
      </c>
      <c r="AD85">
        <v>84289.80143766533</v>
      </c>
      <c r="AE85">
        <v>185792.4368550542</v>
      </c>
      <c r="AF85">
        <v>256844.01651476874</v>
      </c>
      <c r="AG85">
        <v>142321.08208593226</v>
      </c>
      <c r="AH85">
        <v>91745.136019726822</v>
      </c>
      <c r="AI85">
        <v>23879.181868084965</v>
      </c>
      <c r="AJ85">
        <v>1896903.0307766101</v>
      </c>
      <c r="AK85">
        <v>29321.120152726697</v>
      </c>
      <c r="AL85">
        <v>120821.12659868952</v>
      </c>
      <c r="AM85">
        <v>2049854.2875324623</v>
      </c>
      <c r="AN85">
        <v>2130182.1909623495</v>
      </c>
    </row>
    <row r="86" spans="1:40" x14ac:dyDescent="0.25">
      <c r="A86" s="1">
        <f t="shared" si="1"/>
        <v>44348</v>
      </c>
      <c r="B86" s="6">
        <v>272020.85256227106</v>
      </c>
      <c r="C86" s="6">
        <v>-61053.485843000897</v>
      </c>
      <c r="D86" s="6">
        <v>185958.54883984927</v>
      </c>
      <c r="E86" s="6">
        <v>183177.93058620542</v>
      </c>
      <c r="F86" s="6">
        <v>3626.5691204834611</v>
      </c>
      <c r="G86" s="6">
        <v>231989.53621397872</v>
      </c>
      <c r="H86" s="6">
        <v>152805.4996603039</v>
      </c>
      <c r="I86" s="6">
        <v>85257.453281915383</v>
      </c>
      <c r="J86">
        <v>68899.436060299093</v>
      </c>
      <c r="K86">
        <v>15233.116056967026</v>
      </c>
      <c r="L86">
        <v>2398.2144562834483</v>
      </c>
      <c r="M86">
        <v>7368.8631608837541</v>
      </c>
      <c r="N86">
        <v>85755.217464049492</v>
      </c>
      <c r="O86">
        <v>13559.391823441492</v>
      </c>
      <c r="P86">
        <v>16547.074661072013</v>
      </c>
      <c r="Q86">
        <v>7880.981330084569</v>
      </c>
      <c r="R86">
        <v>6912.0199794465334</v>
      </c>
      <c r="S86">
        <v>293.90034543153956</v>
      </c>
      <c r="T86">
        <v>2594.3893634917713</v>
      </c>
      <c r="U86">
        <v>4160.4099839648115</v>
      </c>
      <c r="V86">
        <v>6283.4709051541768</v>
      </c>
      <c r="W86">
        <v>49364.316098272895</v>
      </c>
      <c r="X86">
        <v>293106.56210657029</v>
      </c>
      <c r="Y86">
        <v>1212705.6768012031</v>
      </c>
      <c r="Z86">
        <v>890074.03099966154</v>
      </c>
      <c r="AA86">
        <v>361440.88154810737</v>
      </c>
      <c r="AB86">
        <v>6456.9386834197785</v>
      </c>
      <c r="AC86">
        <v>274599.07423042791</v>
      </c>
      <c r="AD86">
        <v>83041.152874172461</v>
      </c>
      <c r="AE86">
        <v>187012.86051699065</v>
      </c>
      <c r="AF86">
        <v>323714.4069690847</v>
      </c>
      <c r="AG86">
        <v>183119.33229054656</v>
      </c>
      <c r="AH86">
        <v>115076.89028917835</v>
      </c>
      <c r="AI86">
        <v>24398.01022069234</v>
      </c>
      <c r="AJ86">
        <v>1939588.2064427885</v>
      </c>
      <c r="AK86">
        <v>25164.930305869701</v>
      </c>
      <c r="AL86">
        <v>113970.53906473839</v>
      </c>
      <c r="AM86">
        <v>2080179.639568636</v>
      </c>
      <c r="AN86">
        <v>2153935.2858962677</v>
      </c>
    </row>
    <row r="87" spans="1:40" x14ac:dyDescent="0.25">
      <c r="A87" s="1">
        <f t="shared" si="1"/>
        <v>44440</v>
      </c>
      <c r="B87" s="6">
        <v>239322.41293412307</v>
      </c>
      <c r="C87" s="6">
        <v>-57451.263511555226</v>
      </c>
      <c r="D87" s="6">
        <v>149569.53852004212</v>
      </c>
      <c r="E87" s="6">
        <v>146859.14878749428</v>
      </c>
      <c r="F87" s="6">
        <v>3769.5717033458723</v>
      </c>
      <c r="G87" s="6">
        <v>211944.89633785698</v>
      </c>
      <c r="H87" s="6">
        <v>151570.70803076957</v>
      </c>
      <c r="I87" s="6">
        <v>86108.336381895453</v>
      </c>
      <c r="J87">
        <v>65672.165712478585</v>
      </c>
      <c r="K87">
        <v>15294.729184133155</v>
      </c>
      <c r="L87">
        <v>2030.2007002741241</v>
      </c>
      <c r="M87">
        <v>7446.9648279711237</v>
      </c>
      <c r="N87">
        <v>66627.789804516404</v>
      </c>
      <c r="O87">
        <v>13328.318533168167</v>
      </c>
      <c r="P87">
        <v>17383.500034205172</v>
      </c>
      <c r="Q87">
        <v>7825.6434339888501</v>
      </c>
      <c r="R87">
        <v>7154.0277176824129</v>
      </c>
      <c r="S87">
        <v>314.63907972550913</v>
      </c>
      <c r="T87">
        <v>2830.1521394677152</v>
      </c>
      <c r="U87">
        <v>4008.7496898191162</v>
      </c>
      <c r="V87">
        <v>6179.4967081572513</v>
      </c>
      <c r="W87">
        <v>51726.842258442426</v>
      </c>
      <c r="X87">
        <v>345145.89102539938</v>
      </c>
      <c r="Y87">
        <v>1136483.0228270881</v>
      </c>
      <c r="Z87">
        <v>905006.72022638167</v>
      </c>
      <c r="AA87">
        <v>355425.44313566625</v>
      </c>
      <c r="AB87">
        <v>18441.241507503706</v>
      </c>
      <c r="AC87">
        <v>271483.87417780538</v>
      </c>
      <c r="AD87">
        <v>78980.810493432975</v>
      </c>
      <c r="AE87">
        <v>188995.62324081163</v>
      </c>
      <c r="AF87">
        <v>247639.00494173498</v>
      </c>
      <c r="AG87">
        <v>132999.81558455111</v>
      </c>
      <c r="AH87">
        <v>90943.731854276557</v>
      </c>
      <c r="AI87">
        <v>24550.319022863659</v>
      </c>
      <c r="AJ87">
        <v>1828794.3188945628</v>
      </c>
      <c r="AK87">
        <v>24753.791381770479</v>
      </c>
      <c r="AL87">
        <v>115669.8546633909</v>
      </c>
      <c r="AM87">
        <v>1969208.426052562</v>
      </c>
      <c r="AN87">
        <v>2057882.546486974</v>
      </c>
    </row>
    <row r="88" spans="1:40" x14ac:dyDescent="0.25">
      <c r="A88" s="1">
        <f t="shared" si="1"/>
        <v>44531</v>
      </c>
      <c r="B88" s="6">
        <v>275865.87684600893</v>
      </c>
      <c r="C88" s="6">
        <v>-51616.036775420354</v>
      </c>
      <c r="D88" s="6">
        <v>154708.25707918336</v>
      </c>
      <c r="E88" s="6">
        <v>152508.72177997159</v>
      </c>
      <c r="F88" s="6">
        <v>3675.9325503779514</v>
      </c>
      <c r="G88" s="6">
        <v>201681.43363911586</v>
      </c>
      <c r="H88" s="6">
        <v>155876.3675327572</v>
      </c>
      <c r="I88" s="6">
        <v>85207.614624613183</v>
      </c>
      <c r="J88">
        <v>73052.784364932639</v>
      </c>
      <c r="K88">
        <v>13075.859188202747</v>
      </c>
      <c r="L88">
        <v>2040.8346617528784</v>
      </c>
      <c r="M88">
        <v>7759.7866235760021</v>
      </c>
      <c r="N88">
        <v>57589.572649556634</v>
      </c>
      <c r="O88">
        <v>13655.223503843916</v>
      </c>
      <c r="P88">
        <v>18430.468494733297</v>
      </c>
      <c r="Q88">
        <v>7668.2245841007843</v>
      </c>
      <c r="R88">
        <v>8179.4231296082953</v>
      </c>
      <c r="S88">
        <v>262.425562284725</v>
      </c>
      <c r="T88">
        <v>2923.8922947370861</v>
      </c>
      <c r="U88">
        <v>3857.0548832628569</v>
      </c>
      <c r="V88">
        <v>6865.9186773571319</v>
      </c>
      <c r="W88">
        <v>50245.21600650566</v>
      </c>
      <c r="X88">
        <v>354953.31284389802</v>
      </c>
      <c r="Y88">
        <v>1117039.8824080315</v>
      </c>
      <c r="Z88">
        <v>871590.59953963023</v>
      </c>
      <c r="AA88">
        <v>352765.66710978828</v>
      </c>
      <c r="AB88">
        <v>16616.916072659576</v>
      </c>
      <c r="AC88">
        <v>275020.33261101827</v>
      </c>
      <c r="AD88">
        <v>72139.503508850015</v>
      </c>
      <c r="AE88">
        <v>194437.81255145409</v>
      </c>
      <c r="AF88">
        <v>273371.25612646225</v>
      </c>
      <c r="AG88">
        <v>150237.50731587454</v>
      </c>
      <c r="AH88">
        <v>100038.25626293934</v>
      </c>
      <c r="AI88">
        <v>24761.576864671479</v>
      </c>
      <c r="AJ88">
        <v>1857167.3301699292</v>
      </c>
      <c r="AK88">
        <v>21300.169331138652</v>
      </c>
      <c r="AL88">
        <v>107210.40056495754</v>
      </c>
      <c r="AM88">
        <v>1985983.0519081429</v>
      </c>
      <c r="AN88">
        <v>2113021.8690003594</v>
      </c>
    </row>
    <row r="89" spans="1:40" x14ac:dyDescent="0.25">
      <c r="A89" s="1">
        <f t="shared" si="1"/>
        <v>44621</v>
      </c>
      <c r="B89" s="6">
        <v>290384.79638673371</v>
      </c>
      <c r="C89" s="6">
        <v>-62824.572359566533</v>
      </c>
      <c r="D89" s="6">
        <v>165438.25676822884</v>
      </c>
      <c r="E89" s="6">
        <v>163004.84555817439</v>
      </c>
      <c r="F89" s="6">
        <v>3718.7444309662128</v>
      </c>
      <c r="G89" s="6">
        <v>236517.92068409559</v>
      </c>
      <c r="H89" s="6">
        <v>184188.27122428655</v>
      </c>
      <c r="I89" s="6">
        <v>97109.702411729886</v>
      </c>
      <c r="J89">
        <v>86877.818666850741</v>
      </c>
      <c r="K89">
        <v>22671.852779240588</v>
      </c>
      <c r="L89">
        <v>2724.874811420314</v>
      </c>
      <c r="M89">
        <v>7362.7892472970525</v>
      </c>
      <c r="N89">
        <v>69371.21961546797</v>
      </c>
      <c r="O89">
        <v>15633.115070968017</v>
      </c>
      <c r="P89">
        <v>19502.724331130958</v>
      </c>
      <c r="Q89">
        <v>7852.2030312461457</v>
      </c>
      <c r="R89">
        <v>5701.7364800849355</v>
      </c>
      <c r="S89">
        <v>221.23122397981177</v>
      </c>
      <c r="T89">
        <v>2697.3017244211442</v>
      </c>
      <c r="U89">
        <v>4045.7631962831697</v>
      </c>
      <c r="V89">
        <v>6116.7793316254529</v>
      </c>
      <c r="W89">
        <v>51896.086680889479</v>
      </c>
      <c r="X89">
        <v>350585.81526721397</v>
      </c>
      <c r="Y89">
        <v>1176077.9805026171</v>
      </c>
      <c r="Z89">
        <v>915234.00778304064</v>
      </c>
      <c r="AA89">
        <v>361319.44214468269</v>
      </c>
      <c r="AB89">
        <v>13169.661657489238</v>
      </c>
      <c r="AC89">
        <v>290426.51670643222</v>
      </c>
      <c r="AD89">
        <v>85216.989253479653</v>
      </c>
      <c r="AE89">
        <v>191366.2099607058</v>
      </c>
      <c r="AF89">
        <v>262851.75752632914</v>
      </c>
      <c r="AG89">
        <v>145452.14589182282</v>
      </c>
      <c r="AH89">
        <v>93947.019284200273</v>
      </c>
      <c r="AI89">
        <v>24977.624234016872</v>
      </c>
      <c r="AJ89">
        <v>1959500.830792238</v>
      </c>
      <c r="AK89">
        <v>24747.025408901329</v>
      </c>
      <c r="AL89">
        <v>125533.1505360384</v>
      </c>
      <c r="AM89">
        <v>2111349.9161584359</v>
      </c>
      <c r="AN89">
        <v>2207001.9899348635</v>
      </c>
    </row>
    <row r="90" spans="1:40" x14ac:dyDescent="0.25">
      <c r="A90" s="1">
        <f t="shared" si="1"/>
        <v>44713</v>
      </c>
      <c r="B90" s="6">
        <v>285621.89519038459</v>
      </c>
      <c r="C90" s="6">
        <v>-62091.39510233191</v>
      </c>
      <c r="D90" s="6">
        <v>167362.69395586435</v>
      </c>
      <c r="E90" s="6">
        <v>164493.78166641245</v>
      </c>
      <c r="F90" s="6">
        <v>3938.4540648450388</v>
      </c>
      <c r="G90" s="6">
        <v>266323.98757364764</v>
      </c>
      <c r="H90" s="6">
        <v>157209.26573861382</v>
      </c>
      <c r="I90" s="6">
        <v>92526.747397624888</v>
      </c>
      <c r="J90">
        <v>66350.156926068012</v>
      </c>
      <c r="K90">
        <v>16360.366645182587</v>
      </c>
      <c r="L90">
        <v>2640.434116368076</v>
      </c>
      <c r="M90">
        <v>7626.7733715146842</v>
      </c>
      <c r="N90">
        <v>102734.7505219313</v>
      </c>
      <c r="O90">
        <v>14657.702561140251</v>
      </c>
      <c r="P90">
        <v>20203.978161168929</v>
      </c>
      <c r="Q90">
        <v>8022.8389940260922</v>
      </c>
      <c r="R90">
        <v>6960.4041193026587</v>
      </c>
      <c r="S90">
        <v>246.58238981706168</v>
      </c>
      <c r="T90">
        <v>2809.7236806615888</v>
      </c>
      <c r="U90">
        <v>4152.0891639968813</v>
      </c>
      <c r="V90">
        <v>7326.5270754097701</v>
      </c>
      <c r="W90">
        <v>53609.647282724356</v>
      </c>
      <c r="X90">
        <v>306882.57052557904</v>
      </c>
      <c r="Y90">
        <v>1272156.9458698267</v>
      </c>
      <c r="Z90">
        <v>942412.39046354382</v>
      </c>
      <c r="AA90">
        <v>376621.39857312787</v>
      </c>
      <c r="AB90">
        <v>10931.597191029683</v>
      </c>
      <c r="AC90">
        <v>292722.61312963621</v>
      </c>
      <c r="AD90">
        <v>84701.975931655892</v>
      </c>
      <c r="AE90">
        <v>193932.33635611931</v>
      </c>
      <c r="AF90">
        <v>329224.20311767957</v>
      </c>
      <c r="AG90">
        <v>186049.24160719529</v>
      </c>
      <c r="AH90">
        <v>116687.96675322685</v>
      </c>
      <c r="AI90">
        <v>25251.940578416576</v>
      </c>
      <c r="AJ90">
        <v>2017171.7347005</v>
      </c>
      <c r="AK90">
        <v>22522.612623753383</v>
      </c>
      <c r="AL90">
        <v>114768.33283819153</v>
      </c>
      <c r="AM90">
        <v>2157146.2862326754</v>
      </c>
      <c r="AN90">
        <v>2279501.1692361874</v>
      </c>
    </row>
    <row r="91" spans="1:40" x14ac:dyDescent="0.25">
      <c r="A91" s="1">
        <f>EDATE(A90,3)</f>
        <v>44805</v>
      </c>
      <c r="B91" s="6">
        <v>252963.79047136806</v>
      </c>
      <c r="C91" s="6">
        <v>-59002.447626367211</v>
      </c>
      <c r="D91" s="6">
        <v>142988.47882516027</v>
      </c>
      <c r="E91" s="6">
        <v>140250.48709205701</v>
      </c>
      <c r="F91" s="6">
        <v>4116.3723000536929</v>
      </c>
      <c r="G91" s="6">
        <v>247127.74912994122</v>
      </c>
      <c r="H91" s="6">
        <v>161160.87377099064</v>
      </c>
      <c r="I91" s="6">
        <v>94085.631472146197</v>
      </c>
      <c r="J91">
        <v>67510.986352427979</v>
      </c>
      <c r="K91">
        <v>15386.497559237956</v>
      </c>
      <c r="L91">
        <v>2878.824592988708</v>
      </c>
      <c r="M91">
        <v>8943.8047583933185</v>
      </c>
      <c r="N91">
        <v>85550.082108999079</v>
      </c>
      <c r="O91">
        <v>14674.478705018151</v>
      </c>
      <c r="P91">
        <v>20790.666040909386</v>
      </c>
      <c r="Q91">
        <v>7731.7357127809846</v>
      </c>
      <c r="R91">
        <v>7111.1035513763181</v>
      </c>
      <c r="S91">
        <v>305.82918549319487</v>
      </c>
      <c r="T91">
        <v>2736.7571188652805</v>
      </c>
      <c r="U91">
        <v>3916.5484469532762</v>
      </c>
      <c r="V91">
        <v>7242.3701419602976</v>
      </c>
      <c r="W91">
        <v>52709.652261352814</v>
      </c>
      <c r="X91">
        <v>358606.58077538997</v>
      </c>
      <c r="Y91">
        <v>1185563.8907911826</v>
      </c>
      <c r="Z91">
        <v>951094.49878713698</v>
      </c>
      <c r="AA91">
        <v>373196.71529244957</v>
      </c>
      <c r="AB91">
        <v>27256.154948090472</v>
      </c>
      <c r="AC91">
        <v>278813.93878060608</v>
      </c>
      <c r="AD91">
        <v>81034.311566262244</v>
      </c>
      <c r="AE91">
        <v>196744.44379368486</v>
      </c>
      <c r="AF91">
        <v>252876.10063416441</v>
      </c>
      <c r="AG91">
        <v>136191.81115858033</v>
      </c>
      <c r="AH91">
        <v>92307.88783209071</v>
      </c>
      <c r="AI91">
        <v>25237.72795550384</v>
      </c>
      <c r="AJ91">
        <v>1900117.2973314507</v>
      </c>
      <c r="AK91">
        <v>20966.461300359595</v>
      </c>
      <c r="AL91">
        <v>117636.24219266855</v>
      </c>
      <c r="AM91">
        <v>2038130.7209644013</v>
      </c>
      <c r="AN91">
        <v>2154345.2181785698</v>
      </c>
    </row>
    <row r="92" spans="1:40" x14ac:dyDescent="0.25">
      <c r="A92" s="1">
        <f t="shared" ref="A92:A102" si="2">EDATE(A91,3)</f>
        <v>44896</v>
      </c>
      <c r="B92" s="6">
        <v>291590.23182623152</v>
      </c>
      <c r="C92" s="6">
        <v>-53267.749952233804</v>
      </c>
      <c r="D92" s="6">
        <v>150685.84239512458</v>
      </c>
      <c r="E92" s="6">
        <v>148238.47757013235</v>
      </c>
      <c r="F92" s="6">
        <v>4039.8498728653685</v>
      </c>
      <c r="G92" s="6">
        <v>222051.25843666657</v>
      </c>
      <c r="H92" s="6">
        <v>173903.40663978897</v>
      </c>
      <c r="I92" s="6">
        <v>93976.945506802731</v>
      </c>
      <c r="J92">
        <v>82622.699116738833</v>
      </c>
      <c r="K92">
        <v>13468.134963848828</v>
      </c>
      <c r="L92">
        <v>2381.6540502656089</v>
      </c>
      <c r="M92">
        <v>9071.1905629603461</v>
      </c>
      <c r="N92">
        <v>60584.230427333583</v>
      </c>
      <c r="O92">
        <v>15034.401077732156</v>
      </c>
      <c r="P92">
        <v>21139.747363459093</v>
      </c>
      <c r="Q92">
        <v>7645.21991034848</v>
      </c>
      <c r="R92">
        <v>8441.1646697557608</v>
      </c>
      <c r="S92">
        <v>381.0419164374207</v>
      </c>
      <c r="T92">
        <v>3587.6158456424046</v>
      </c>
      <c r="U92">
        <v>4377.7572925033428</v>
      </c>
      <c r="V92">
        <v>8019.3930151531295</v>
      </c>
      <c r="W92">
        <v>52456.005510791911</v>
      </c>
      <c r="X92">
        <v>369506.39867049776</v>
      </c>
      <c r="Y92">
        <v>1171544.3180580293</v>
      </c>
      <c r="Z92">
        <v>922314.63025119598</v>
      </c>
      <c r="AA92">
        <v>371109.48179949721</v>
      </c>
      <c r="AB92">
        <v>25374.030842951172</v>
      </c>
      <c r="AC92">
        <v>283545.96292195981</v>
      </c>
      <c r="AD92">
        <v>74303.688614115526</v>
      </c>
      <c r="AE92">
        <v>202409.76286606371</v>
      </c>
      <c r="AF92">
        <v>279611.30293605087</v>
      </c>
      <c r="AG92">
        <v>154143.68250608727</v>
      </c>
      <c r="AH92">
        <v>101738.90661940929</v>
      </c>
      <c r="AI92">
        <v>25405.377863152939</v>
      </c>
      <c r="AJ92">
        <v>1937025.525367236</v>
      </c>
      <c r="AK92">
        <v>20725.064759197907</v>
      </c>
      <c r="AL92">
        <v>113106.97259603019</v>
      </c>
      <c r="AM92">
        <v>2071380.323140193</v>
      </c>
      <c r="AN92">
        <v>2233177.6344114924</v>
      </c>
    </row>
    <row r="93" spans="1:40" x14ac:dyDescent="0.25">
      <c r="A93" s="1">
        <f t="shared" si="2"/>
        <v>44986</v>
      </c>
      <c r="B93" s="6">
        <v>302290.57303858979</v>
      </c>
      <c r="C93" s="6">
        <v>-64143.888379117438</v>
      </c>
      <c r="D93" s="6">
        <v>158324.41172719497</v>
      </c>
      <c r="E93" s="6">
        <v>155832.63235361472</v>
      </c>
      <c r="F93" s="6">
        <v>3871.2129526358276</v>
      </c>
      <c r="G93" s="6">
        <v>249526.4063217208</v>
      </c>
      <c r="H93" s="6">
        <v>186257.09711167432</v>
      </c>
      <c r="I93" s="6">
        <v>107371.11393131888</v>
      </c>
      <c r="J93">
        <v>78798.181530833623</v>
      </c>
      <c r="K93">
        <v>24508.272854359075</v>
      </c>
      <c r="L93">
        <v>3051.8597887907517</v>
      </c>
      <c r="M93">
        <v>8636.5517870794429</v>
      </c>
      <c r="N93">
        <v>80956.213291251115</v>
      </c>
      <c r="O93">
        <v>16571.101975226098</v>
      </c>
      <c r="P93">
        <v>21335.98041825727</v>
      </c>
      <c r="Q93">
        <v>8181.9955585584848</v>
      </c>
      <c r="R93">
        <v>6174.9806079319851</v>
      </c>
      <c r="S93">
        <v>286.05197260589659</v>
      </c>
      <c r="T93">
        <v>3582.0166900312784</v>
      </c>
      <c r="U93">
        <v>4960.1056786431664</v>
      </c>
      <c r="V93">
        <v>6918.0774240683877</v>
      </c>
      <c r="W93">
        <v>54283.306668210404</v>
      </c>
      <c r="X93">
        <v>368115.10603057465</v>
      </c>
      <c r="Y93">
        <v>1218724.9274691246</v>
      </c>
      <c r="Z93">
        <v>951730.63209582795</v>
      </c>
      <c r="AA93">
        <v>382275.96978907427</v>
      </c>
      <c r="AB93">
        <v>13828.144740363703</v>
      </c>
      <c r="AC93">
        <v>297106.32659068011</v>
      </c>
      <c r="AD93">
        <v>88114.366888097953</v>
      </c>
      <c r="AE93">
        <v>196533.09762964485</v>
      </c>
      <c r="AF93">
        <v>270087.43755599984</v>
      </c>
      <c r="AG93">
        <v>149961.16241446929</v>
      </c>
      <c r="AH93">
        <v>95825.95966988428</v>
      </c>
      <c r="AI93">
        <v>25901.796330675494</v>
      </c>
      <c r="AJ93">
        <v>2002609.8490696673</v>
      </c>
      <c r="AK93">
        <v>25811.147501484083</v>
      </c>
      <c r="AL93">
        <v>133441.7390198088</v>
      </c>
      <c r="AM93">
        <v>2162022.3141462384</v>
      </c>
      <c r="AN93">
        <v>2285574.7422935627</v>
      </c>
    </row>
    <row r="94" spans="1:40" x14ac:dyDescent="0.25">
      <c r="A94" s="1">
        <f t="shared" si="2"/>
        <v>45078</v>
      </c>
      <c r="B94" s="6">
        <v>293904.93015090568</v>
      </c>
      <c r="C94" s="6">
        <v>-64016.228350504192</v>
      </c>
      <c r="D94" s="6">
        <v>180751.70947233352</v>
      </c>
      <c r="E94" s="6">
        <v>177817.77798139185</v>
      </c>
      <c r="F94" s="6">
        <v>4005.4077839474039</v>
      </c>
      <c r="G94" s="6">
        <v>268720.90346181043</v>
      </c>
      <c r="H94" s="6">
        <v>178373.48070594567</v>
      </c>
      <c r="I94" s="6">
        <v>101974.88654083473</v>
      </c>
      <c r="J94">
        <v>77895.084231203844</v>
      </c>
      <c r="K94">
        <v>19059.82714163771</v>
      </c>
      <c r="L94">
        <v>2859.5901480266266</v>
      </c>
      <c r="M94">
        <v>8389.4507086661542</v>
      </c>
      <c r="N94">
        <v>93591.357725479422</v>
      </c>
      <c r="O94">
        <v>15947.580386520596</v>
      </c>
      <c r="P94">
        <v>21557.644697967244</v>
      </c>
      <c r="Q94">
        <v>8560.3692066258391</v>
      </c>
      <c r="R94">
        <v>7593.8008941592007</v>
      </c>
      <c r="S94">
        <v>311.68014072876599</v>
      </c>
      <c r="T94">
        <v>3186.2266538702415</v>
      </c>
      <c r="U94">
        <v>4932.6819268282952</v>
      </c>
      <c r="V94">
        <v>7751.4656457835354</v>
      </c>
      <c r="W94">
        <v>54521.01128653068</v>
      </c>
      <c r="X94">
        <v>319157.87334660225</v>
      </c>
      <c r="Y94">
        <v>1329751.8817730069</v>
      </c>
      <c r="Z94">
        <v>992764.31990645872</v>
      </c>
      <c r="AA94">
        <v>401478.41087895428</v>
      </c>
      <c r="AB94">
        <v>14342.255514630944</v>
      </c>
      <c r="AC94">
        <v>302967.90458917356</v>
      </c>
      <c r="AD94">
        <v>88513.564848580412</v>
      </c>
      <c r="AE94">
        <v>199362.44177409064</v>
      </c>
      <c r="AF94">
        <v>339135.9868490923</v>
      </c>
      <c r="AG94">
        <v>192374.91582183994</v>
      </c>
      <c r="AH94">
        <v>119488.47795530428</v>
      </c>
      <c r="AI94">
        <v>25908.491033455415</v>
      </c>
      <c r="AJ94">
        <v>2118030.3214355255</v>
      </c>
      <c r="AK94">
        <v>25225.326138603792</v>
      </c>
      <c r="AL94">
        <v>122113.50613983582</v>
      </c>
      <c r="AM94">
        <v>2267160.7468305421</v>
      </c>
      <c r="AN94">
        <v>2380445.6488681384</v>
      </c>
    </row>
    <row r="95" spans="1:40" x14ac:dyDescent="0.25">
      <c r="A95" s="1">
        <f t="shared" si="2"/>
        <v>45170</v>
      </c>
      <c r="B95" s="6">
        <v>259287.88523315225</v>
      </c>
      <c r="C95" s="6">
        <v>-60890.525950410971</v>
      </c>
      <c r="D95" s="6">
        <v>173302.03633609426</v>
      </c>
      <c r="E95" s="6">
        <v>170404.34181684931</v>
      </c>
      <c r="F95" s="6">
        <v>4202.81611835482</v>
      </c>
      <c r="G95" s="6">
        <v>250093.28211950051</v>
      </c>
      <c r="H95" s="6">
        <v>175975.40371778194</v>
      </c>
      <c r="I95" s="6">
        <v>101642.86988139228</v>
      </c>
      <c r="J95">
        <v>74667.15090578534</v>
      </c>
      <c r="K95">
        <v>16525.098378621566</v>
      </c>
      <c r="L95">
        <v>2933.5222602554927</v>
      </c>
      <c r="M95">
        <v>9086.9056345276131</v>
      </c>
      <c r="N95">
        <v>81358.128085658114</v>
      </c>
      <c r="O95">
        <v>14982.642757823529</v>
      </c>
      <c r="P95">
        <v>22828.151312918504</v>
      </c>
      <c r="Q95">
        <v>8311.6158912395586</v>
      </c>
      <c r="R95">
        <v>8127.9913592231323</v>
      </c>
      <c r="S95">
        <v>346.19863797829657</v>
      </c>
      <c r="T95">
        <v>3289.5820568760669</v>
      </c>
      <c r="U95">
        <v>4778.1891052829969</v>
      </c>
      <c r="V95">
        <v>7973.8495262982879</v>
      </c>
      <c r="W95">
        <v>56504.74722417022</v>
      </c>
      <c r="X95">
        <v>368647.56503710098</v>
      </c>
      <c r="Y95">
        <v>1226578.9013142176</v>
      </c>
      <c r="Z95">
        <v>989442.66731336375</v>
      </c>
      <c r="AA95">
        <v>387378.19047356263</v>
      </c>
      <c r="AB95">
        <v>32979.947487189471</v>
      </c>
      <c r="AC95">
        <v>284669.03149499878</v>
      </c>
      <c r="AD95">
        <v>84842.924209876568</v>
      </c>
      <c r="AE95">
        <v>202056.54377611435</v>
      </c>
      <c r="AF95">
        <v>259048.83161801586</v>
      </c>
      <c r="AG95">
        <v>139732.79824870342</v>
      </c>
      <c r="AH95">
        <v>94338.661364396699</v>
      </c>
      <c r="AI95">
        <v>25792.957970524923</v>
      </c>
      <c r="AJ95">
        <v>2010324.1005766748</v>
      </c>
      <c r="AK95">
        <v>23188.90619819771</v>
      </c>
      <c r="AL95">
        <v>131517.31877140349</v>
      </c>
      <c r="AM95">
        <v>2162456.6949432292</v>
      </c>
      <c r="AN95">
        <v>2194443.7826115033</v>
      </c>
    </row>
    <row r="96" spans="1:40" x14ac:dyDescent="0.25">
      <c r="A96" s="1">
        <f t="shared" si="2"/>
        <v>45261</v>
      </c>
      <c r="B96" s="6">
        <v>298879.98762188724</v>
      </c>
      <c r="C96" s="6">
        <v>-55185.388950514222</v>
      </c>
      <c r="D96" s="6">
        <v>145110.46622650497</v>
      </c>
      <c r="E96" s="6">
        <v>142605.41542246734</v>
      </c>
      <c r="F96" s="6">
        <v>4092.3679212126176</v>
      </c>
      <c r="G96" s="6">
        <v>225382.02731321653</v>
      </c>
      <c r="H96" s="6">
        <v>177255.96648640823</v>
      </c>
      <c r="I96" s="6">
        <v>100618.56642132961</v>
      </c>
      <c r="J96">
        <v>78739.432258252084</v>
      </c>
      <c r="K96">
        <v>15447.950803534608</v>
      </c>
      <c r="L96">
        <v>2517.4083311307486</v>
      </c>
      <c r="M96">
        <v>9633.6043778638887</v>
      </c>
      <c r="N96">
        <v>61977.667727162247</v>
      </c>
      <c r="O96">
        <v>15650.811521919171</v>
      </c>
      <c r="P96">
        <v>22619.529678901232</v>
      </c>
      <c r="Q96">
        <v>8103.9331049693901</v>
      </c>
      <c r="R96">
        <v>9504.751418144986</v>
      </c>
      <c r="S96">
        <v>344.8429343758657</v>
      </c>
      <c r="T96">
        <v>3114.0505540176073</v>
      </c>
      <c r="U96">
        <v>4583.5118852509995</v>
      </c>
      <c r="V96">
        <v>8652.9250633502252</v>
      </c>
      <c r="W96">
        <v>54764.069753266747</v>
      </c>
      <c r="X96">
        <v>376896.52664390771</v>
      </c>
      <c r="Y96">
        <v>1226322.8452482973</v>
      </c>
      <c r="Z96">
        <v>975534.96497208602</v>
      </c>
      <c r="AA96">
        <v>403024.89723425405</v>
      </c>
      <c r="AB96">
        <v>28748.776945063673</v>
      </c>
      <c r="AC96">
        <v>294320.70951299428</v>
      </c>
      <c r="AD96">
        <v>78093.176733435423</v>
      </c>
      <c r="AE96">
        <v>209291.69480350989</v>
      </c>
      <c r="AF96">
        <v>285294.2694131622</v>
      </c>
      <c r="AG96">
        <v>156764.12510869076</v>
      </c>
      <c r="AH96">
        <v>104384.11819151393</v>
      </c>
      <c r="AI96">
        <v>25888.080042552843</v>
      </c>
      <c r="AJ96">
        <v>1981577.1124506823</v>
      </c>
      <c r="AK96">
        <v>23854.549537836792</v>
      </c>
      <c r="AL96">
        <v>131430.30215658707</v>
      </c>
      <c r="AM96">
        <v>2133521.7328343987</v>
      </c>
      <c r="AN96">
        <v>2344569.0084143663</v>
      </c>
    </row>
    <row r="97" spans="1:40" x14ac:dyDescent="0.25">
      <c r="A97" s="1">
        <f t="shared" si="2"/>
        <v>45352</v>
      </c>
      <c r="B97">
        <v>311963.87137582467</v>
      </c>
      <c r="C97">
        <v>-66709.643914282133</v>
      </c>
      <c r="D97">
        <v>156899.49202165022</v>
      </c>
      <c r="E97">
        <v>154274.30603007856</v>
      </c>
      <c r="F97">
        <v>3995.0917671201737</v>
      </c>
      <c r="G97">
        <v>259756.98898091132</v>
      </c>
      <c r="H97">
        <v>190144.68361390542</v>
      </c>
      <c r="I97">
        <v>110487.23038466169</v>
      </c>
      <c r="J97">
        <v>79664.961527672785</v>
      </c>
      <c r="K97">
        <v>23846.549487291377</v>
      </c>
      <c r="L97">
        <v>3222.7639369630338</v>
      </c>
      <c r="M97">
        <v>8990.6504103497009</v>
      </c>
      <c r="N97">
        <v>84761.155315939919</v>
      </c>
      <c r="O97">
        <v>17333.3726660865</v>
      </c>
      <c r="P97">
        <v>22168.083654569302</v>
      </c>
      <c r="Q97">
        <v>8787.4632298918114</v>
      </c>
      <c r="R97">
        <v>6557.8294056237692</v>
      </c>
      <c r="S97">
        <v>299.49641531837369</v>
      </c>
      <c r="T97">
        <v>3356.3496385593076</v>
      </c>
      <c r="U97">
        <v>5108.9088490024606</v>
      </c>
      <c r="V97">
        <v>7180.964366182985</v>
      </c>
      <c r="W97">
        <v>57377.455148298381</v>
      </c>
      <c r="X97">
        <v>380999.13474164478</v>
      </c>
      <c r="Y97">
        <v>1272019.4618476357</v>
      </c>
      <c r="Z97">
        <v>1001767.5201047907</v>
      </c>
      <c r="AA97">
        <v>409035.28767430945</v>
      </c>
      <c r="AB97">
        <v>14823.771161669891</v>
      </c>
      <c r="AC97">
        <v>309287.68598089798</v>
      </c>
      <c r="AD97">
        <v>91550.827196733764</v>
      </c>
      <c r="AE97">
        <v>203215.22294905278</v>
      </c>
      <c r="AF97">
        <v>276550.38209995767</v>
      </c>
      <c r="AG97">
        <v>153560.23031241653</v>
      </c>
      <c r="AH97">
        <v>97838.304822951832</v>
      </c>
      <c r="AI97">
        <v>26963.769980233184</v>
      </c>
      <c r="AJ97">
        <v>2080711.6331833843</v>
      </c>
      <c r="AK97">
        <v>27463.06094157906</v>
      </c>
      <c r="AL97">
        <v>150789.16509238392</v>
      </c>
      <c r="AM97">
        <v>2254989.2736545261</v>
      </c>
      <c r="AN97">
        <v>2403042.5915954318</v>
      </c>
    </row>
    <row r="98" spans="1:40" x14ac:dyDescent="0.25">
      <c r="A98" s="1">
        <f t="shared" si="2"/>
        <v>45444</v>
      </c>
      <c r="B98">
        <v>313596.56047101639</v>
      </c>
      <c r="C98">
        <v>-66640.893712874851</v>
      </c>
      <c r="D98">
        <v>185812.75733755887</v>
      </c>
      <c r="E98">
        <v>182974.49354285217</v>
      </c>
      <c r="F98">
        <v>4149.6024641695112</v>
      </c>
      <c r="G98">
        <v>280544.62321413012</v>
      </c>
      <c r="H98">
        <v>190007.46663855104</v>
      </c>
      <c r="I98">
        <v>110070.99788895692</v>
      </c>
      <c r="J98">
        <v>81556.153190070429</v>
      </c>
      <c r="K98">
        <v>22280.937928574484</v>
      </c>
      <c r="L98">
        <v>3537.313013108937</v>
      </c>
      <c r="M98">
        <v>9933.1096390607254</v>
      </c>
      <c r="N98">
        <v>96679.872530420238</v>
      </c>
      <c r="O98">
        <v>16473.850539275772</v>
      </c>
      <c r="P98">
        <v>23066.679826824951</v>
      </c>
      <c r="Q98">
        <v>8988.3876669571328</v>
      </c>
      <c r="R98">
        <v>8026.6475451262731</v>
      </c>
      <c r="S98">
        <v>329.44590875030559</v>
      </c>
      <c r="T98">
        <v>2966.377014753195</v>
      </c>
      <c r="U98">
        <v>4912.951199120982</v>
      </c>
      <c r="V98">
        <v>7991.7610808028257</v>
      </c>
      <c r="W98">
        <v>59155.297245885777</v>
      </c>
      <c r="X98">
        <v>330647.55678707996</v>
      </c>
      <c r="Y98">
        <v>1387549.0873371954</v>
      </c>
      <c r="Z98">
        <v>1041809.7980333298</v>
      </c>
      <c r="AA98">
        <v>427173.02917520731</v>
      </c>
      <c r="AB98">
        <v>15647.400766462362</v>
      </c>
      <c r="AC98">
        <v>316904.42820027558</v>
      </c>
      <c r="AD98">
        <v>92231.134572220792</v>
      </c>
      <c r="AE98">
        <v>205343.31502731334</v>
      </c>
      <c r="AF98">
        <v>349788.04481578339</v>
      </c>
      <c r="AG98">
        <v>198146.16329649513</v>
      </c>
      <c r="AH98">
        <v>123312.10924987403</v>
      </c>
      <c r="AI98">
        <v>27048.464638927446</v>
      </c>
      <c r="AJ98">
        <v>2204869.5646143816</v>
      </c>
      <c r="AK98">
        <v>28176.689296820434</v>
      </c>
      <c r="AL98">
        <v>113687.67421618715</v>
      </c>
      <c r="AM98">
        <v>2351045.6944632721</v>
      </c>
      <c r="AN98">
        <v>2471539.8241947051</v>
      </c>
    </row>
    <row r="99" spans="1:40" x14ac:dyDescent="0.25">
      <c r="A99" s="1">
        <f t="shared" si="2"/>
        <v>45536</v>
      </c>
      <c r="B99">
        <v>274845.15834714141</v>
      </c>
      <c r="C99">
        <v>-63813.271196030699</v>
      </c>
      <c r="D99">
        <v>154932.02048446823</v>
      </c>
      <c r="E99">
        <v>152000.67290062958</v>
      </c>
      <c r="F99">
        <v>4379.3343953257217</v>
      </c>
      <c r="G99">
        <v>262848.03950759501</v>
      </c>
      <c r="H99">
        <v>192482.04787409026</v>
      </c>
      <c r="I99">
        <v>110383.68720935193</v>
      </c>
      <c r="J99">
        <v>82432.534599987019</v>
      </c>
      <c r="K99">
        <v>20491.121989490737</v>
      </c>
      <c r="L99">
        <v>2956.9904383375365</v>
      </c>
      <c r="M99">
        <v>8614.3865415321761</v>
      </c>
      <c r="N99">
        <v>83066.64877545691</v>
      </c>
      <c r="O99">
        <v>16016.44510811335</v>
      </c>
      <c r="P99">
        <v>25772.982832284993</v>
      </c>
      <c r="Q99">
        <v>8918.363851300046</v>
      </c>
      <c r="R99">
        <v>8274.2952036891475</v>
      </c>
      <c r="S99">
        <v>325.08052106162052</v>
      </c>
      <c r="T99">
        <v>3493.5361444023833</v>
      </c>
      <c r="U99">
        <v>4849.8619418622411</v>
      </c>
      <c r="V99">
        <v>8547.9666921917633</v>
      </c>
      <c r="W99">
        <v>59160.470343706205</v>
      </c>
      <c r="X99">
        <v>381918.87737843656</v>
      </c>
      <c r="Y99">
        <v>1286636.7539364435</v>
      </c>
      <c r="Z99">
        <v>1047654.6549089188</v>
      </c>
      <c r="AA99">
        <v>421467.47123523621</v>
      </c>
      <c r="AB99">
        <v>36508.80186831874</v>
      </c>
      <c r="AC99">
        <v>295486.45469180867</v>
      </c>
      <c r="AD99">
        <v>88915.384571950635</v>
      </c>
      <c r="AE99">
        <v>208522.35317694998</v>
      </c>
      <c r="AF99">
        <v>267638.2245360504</v>
      </c>
      <c r="AG99">
        <v>144483.71338915933</v>
      </c>
      <c r="AH99">
        <v>97263.159866692993</v>
      </c>
      <c r="AI99">
        <v>26798.883331375389</v>
      </c>
      <c r="AJ99">
        <v>2052540.9066887845</v>
      </c>
      <c r="AK99">
        <v>25159.963225044514</v>
      </c>
      <c r="AL99">
        <v>142301.73891065855</v>
      </c>
      <c r="AM99">
        <v>2214355.6556218672</v>
      </c>
      <c r="AN99">
        <v>2295765.8461193345</v>
      </c>
    </row>
    <row r="100" spans="1:40" x14ac:dyDescent="0.25">
      <c r="A100" s="1">
        <f t="shared" si="2"/>
        <v>45627</v>
      </c>
      <c r="B100">
        <v>314720.62696584722</v>
      </c>
      <c r="C100">
        <v>-57558.360675386335</v>
      </c>
      <c r="D100">
        <v>143659.36156423989</v>
      </c>
      <c r="E100">
        <v>140751.54502197524</v>
      </c>
      <c r="F100">
        <v>4702.1307414732973</v>
      </c>
      <c r="G100">
        <v>232143.48813261304</v>
      </c>
      <c r="H100">
        <v>185357.51302353779</v>
      </c>
      <c r="I100">
        <v>105195.6602977814</v>
      </c>
      <c r="J100">
        <v>82361.446142131666</v>
      </c>
      <c r="K100">
        <v>16050.420884872457</v>
      </c>
      <c r="L100">
        <v>2660.9006060052016</v>
      </c>
      <c r="M100">
        <v>10269.422266802907</v>
      </c>
      <c r="N100">
        <v>63217.221081705487</v>
      </c>
      <c r="O100">
        <v>16151.637490620589</v>
      </c>
      <c r="P100">
        <v>24610.04829064454</v>
      </c>
      <c r="Q100">
        <v>9027.7814789359018</v>
      </c>
      <c r="R100">
        <v>9960.9794862159451</v>
      </c>
      <c r="S100">
        <v>385.53440063221785</v>
      </c>
      <c r="T100">
        <v>2759.0487908596001</v>
      </c>
      <c r="U100">
        <v>4780.6028963167919</v>
      </c>
      <c r="V100">
        <v>8678.8838385402742</v>
      </c>
      <c r="W100">
        <v>57830.857659449692</v>
      </c>
      <c r="X100">
        <v>392726.18076295196</v>
      </c>
      <c r="Y100">
        <v>1287757.5660779825</v>
      </c>
      <c r="Z100">
        <v>1032036.5064583228</v>
      </c>
      <c r="AA100">
        <v>433251.76452682307</v>
      </c>
      <c r="AB100">
        <v>30358.708453987241</v>
      </c>
      <c r="AC100">
        <v>310508.34853620897</v>
      </c>
      <c r="AD100">
        <v>82075.92874684064</v>
      </c>
      <c r="AE100">
        <v>217244.77920604325</v>
      </c>
      <c r="AF100">
        <v>294360.01756336004</v>
      </c>
      <c r="AG100">
        <v>161623.81298706017</v>
      </c>
      <c r="AH100">
        <v>107724.40997364235</v>
      </c>
      <c r="AI100">
        <v>26845.939004127296</v>
      </c>
      <c r="AJ100">
        <v>2060840.1969487099</v>
      </c>
      <c r="AK100">
        <v>24307.78597905569</v>
      </c>
      <c r="AL100">
        <v>144441.90207008919</v>
      </c>
      <c r="AM100">
        <v>2223129.6456134436</v>
      </c>
      <c r="AN100">
        <v>2464584.0388712552</v>
      </c>
    </row>
    <row r="101" spans="1:40" x14ac:dyDescent="0.25">
      <c r="A101" s="1">
        <f t="shared" si="2"/>
        <v>45717</v>
      </c>
      <c r="B101">
        <v>330993.66752974992</v>
      </c>
      <c r="C101">
        <v>-70912.351480881916</v>
      </c>
      <c r="D101">
        <v>154545.9996413255</v>
      </c>
      <c r="E101">
        <v>151805.91713359728</v>
      </c>
      <c r="F101">
        <v>4051.023051859856</v>
      </c>
      <c r="G101">
        <v>260276.50295887314</v>
      </c>
      <c r="H101">
        <v>202524.51284330845</v>
      </c>
      <c r="I101">
        <v>117865.00639375531</v>
      </c>
      <c r="J101">
        <v>84683.854103916179</v>
      </c>
      <c r="K101">
        <v>26135.818238071344</v>
      </c>
      <c r="L101">
        <v>3644.9460127051916</v>
      </c>
      <c r="M101">
        <v>9539.0800853810306</v>
      </c>
      <c r="N101">
        <v>79845.008307615411</v>
      </c>
      <c r="O101">
        <v>18009.374200063874</v>
      </c>
      <c r="P101">
        <v>24274.051601753385</v>
      </c>
      <c r="Q101">
        <v>8646.8638182135437</v>
      </c>
      <c r="R101">
        <v>6905.3943641218284</v>
      </c>
      <c r="S101">
        <v>296.80094758050836</v>
      </c>
      <c r="T101">
        <v>3285.866296149562</v>
      </c>
      <c r="U101">
        <v>5395.0077445465995</v>
      </c>
      <c r="V101">
        <v>8229.3851636457021</v>
      </c>
      <c r="W101">
        <v>59615.175899082031</v>
      </c>
      <c r="X101">
        <v>392429.10878389416</v>
      </c>
      <c r="Y101">
        <v>1338275.735159744</v>
      </c>
      <c r="Z101">
        <v>1073706.082299385</v>
      </c>
      <c r="AA101">
        <v>440940.04011290555</v>
      </c>
      <c r="AB101">
        <v>16291.324506675206</v>
      </c>
      <c r="AC101">
        <v>334339.98854535067</v>
      </c>
      <c r="AD101">
        <v>97318.529310127968</v>
      </c>
      <c r="AE101">
        <v>211750.26231291302</v>
      </c>
      <c r="AF101">
        <v>279419.52901340916</v>
      </c>
      <c r="AG101">
        <v>155095.83261554071</v>
      </c>
      <c r="AH101">
        <v>98718.849566358389</v>
      </c>
      <c r="AI101">
        <v>27610.900459758777</v>
      </c>
      <c r="AJ101">
        <v>2157697.9636111693</v>
      </c>
      <c r="AK101">
        <v>31472.667839049609</v>
      </c>
      <c r="AL101">
        <v>175066.22067225774</v>
      </c>
      <c r="AM101">
        <v>2351953.8124216711</v>
      </c>
      <c r="AN101">
        <v>2524342.2535266071</v>
      </c>
    </row>
    <row r="102" spans="1:40" x14ac:dyDescent="0.25">
      <c r="A102" s="1">
        <f t="shared" si="2"/>
        <v>45809</v>
      </c>
      <c r="B102">
        <v>327708.40569221205</v>
      </c>
      <c r="C102">
        <v>-69906.297504805712</v>
      </c>
      <c r="D102">
        <v>175964.68119866826</v>
      </c>
      <c r="E102">
        <v>172910.8963979953</v>
      </c>
      <c r="F102">
        <v>4365.3817923063261</v>
      </c>
      <c r="G102">
        <v>302427.10382483224</v>
      </c>
      <c r="H102">
        <v>202208.80935240397</v>
      </c>
      <c r="I102">
        <v>118989.35329422605</v>
      </c>
      <c r="J102">
        <v>84981.511624053397</v>
      </c>
      <c r="K102">
        <v>24241.660466289035</v>
      </c>
      <c r="L102">
        <v>3876.895062367395</v>
      </c>
      <c r="M102">
        <v>10330.434024623155</v>
      </c>
      <c r="N102">
        <v>105381.06105815807</v>
      </c>
      <c r="O102">
        <v>18285.974098596114</v>
      </c>
      <c r="P102">
        <v>25350.281129680621</v>
      </c>
      <c r="Q102">
        <v>9186.1321956301872</v>
      </c>
      <c r="R102">
        <v>8436.0065699277129</v>
      </c>
      <c r="S102">
        <v>343.61208282656878</v>
      </c>
      <c r="T102">
        <v>3025.7045550482585</v>
      </c>
      <c r="U102">
        <v>5158.598759077031</v>
      </c>
      <c r="V102">
        <v>9030.6900213071931</v>
      </c>
      <c r="W102">
        <v>64893.3610787367</v>
      </c>
      <c r="X102">
        <v>341889.57371784077</v>
      </c>
      <c r="Y102">
        <v>1442724.4682921569</v>
      </c>
      <c r="Z102">
        <v>1087658.6865879784</v>
      </c>
      <c r="AA102">
        <v>455793.62212994619</v>
      </c>
      <c r="AB102">
        <v>16993.077232378124</v>
      </c>
      <c r="AC102">
        <v>327045.36990268435</v>
      </c>
      <c r="AD102">
        <v>96842.691300831822</v>
      </c>
      <c r="AE102">
        <v>210066.21127294152</v>
      </c>
      <c r="AF102">
        <v>360590.52487907372</v>
      </c>
      <c r="AG102">
        <v>203892.40203209349</v>
      </c>
      <c r="AH102">
        <v>127504.72096436974</v>
      </c>
      <c r="AI102">
        <v>27914.015507373129</v>
      </c>
      <c r="AJ102">
        <v>2271015.6515528131</v>
      </c>
      <c r="AK102">
        <v>36911.462978834774</v>
      </c>
      <c r="AL102">
        <v>134947.26929461415</v>
      </c>
      <c r="AM102">
        <v>2442736.4765473395</v>
      </c>
      <c r="AN102">
        <v>2601695.3981511071</v>
      </c>
    </row>
    <row r="103" spans="1:40" x14ac:dyDescent="0.25">
      <c r="B103">
        <v>285289.27436433278</v>
      </c>
      <c r="C103">
        <v>-66876.308213440163</v>
      </c>
      <c r="D103">
        <v>159425.04907851783</v>
      </c>
      <c r="E103">
        <v>156408.69241474781</v>
      </c>
      <c r="F103">
        <v>4519.4730959761446</v>
      </c>
      <c r="G103">
        <v>263110.88754710258</v>
      </c>
      <c r="H103">
        <v>200006.65303317786</v>
      </c>
      <c r="I103">
        <v>115558.89429146833</v>
      </c>
      <c r="J103">
        <v>84823.078103386637</v>
      </c>
      <c r="K103">
        <v>20880.453307291056</v>
      </c>
      <c r="L103">
        <v>3060.4851036793507</v>
      </c>
      <c r="M103">
        <v>9406.9101033531369</v>
      </c>
      <c r="N103">
        <v>80408.516014642286</v>
      </c>
      <c r="O103">
        <v>17121.57982057317</v>
      </c>
      <c r="P103">
        <v>27963.686373029213</v>
      </c>
      <c r="Q103">
        <v>9203.751494541646</v>
      </c>
      <c r="R103">
        <v>8133.6321852264336</v>
      </c>
      <c r="S103">
        <v>321.82971585100432</v>
      </c>
      <c r="T103">
        <v>3531.9650419908085</v>
      </c>
      <c r="U103">
        <v>4912.9101471064496</v>
      </c>
      <c r="V103">
        <v>9171.9682607217619</v>
      </c>
      <c r="W103">
        <v>63360.863738109343</v>
      </c>
      <c r="X103">
        <v>395667.95696406031</v>
      </c>
      <c r="Y103">
        <v>1334203.1738026594</v>
      </c>
      <c r="Z103">
        <v>1091050.2803813657</v>
      </c>
      <c r="AA103">
        <v>440433.50744082179</v>
      </c>
      <c r="AB103">
        <v>38735.838782286177</v>
      </c>
      <c r="AC103">
        <v>306714.93997009745</v>
      </c>
      <c r="AD103">
        <v>93361.153800548171</v>
      </c>
      <c r="AE103">
        <v>215403.59083178933</v>
      </c>
      <c r="AF103">
        <v>275560.97273813706</v>
      </c>
      <c r="AG103">
        <v>148240.28993727744</v>
      </c>
      <c r="AH103">
        <v>100764.63362189395</v>
      </c>
      <c r="AI103">
        <v>27602.849831316656</v>
      </c>
      <c r="AJ103">
        <v>2122327.297516203</v>
      </c>
      <c r="AK103">
        <v>28808.157892675972</v>
      </c>
      <c r="AL103">
        <v>159093.3441021163</v>
      </c>
      <c r="AM103">
        <v>2298501.1705354983</v>
      </c>
      <c r="AN103">
        <v>2385639.4544953178</v>
      </c>
    </row>
    <row r="104" spans="1:40" x14ac:dyDescent="0.25">
      <c r="B104">
        <v>327624.17267144698</v>
      </c>
      <c r="C104">
        <v>-60608.953791181804</v>
      </c>
      <c r="D104">
        <v>138343.96518636303</v>
      </c>
      <c r="E104">
        <v>135262.23476611823</v>
      </c>
      <c r="F104">
        <v>4998.364978186115</v>
      </c>
      <c r="G104">
        <v>238411.36231219358</v>
      </c>
      <c r="H104">
        <v>194469.3200086139</v>
      </c>
      <c r="I104">
        <v>111716.02291203939</v>
      </c>
      <c r="J104">
        <v>84914.650972537769</v>
      </c>
      <c r="K104">
        <v>17318.404134777385</v>
      </c>
      <c r="L104">
        <v>2833.8591453955396</v>
      </c>
      <c r="M104">
        <v>10998.551247745912</v>
      </c>
      <c r="N104">
        <v>63786.17607144083</v>
      </c>
      <c r="O104">
        <v>17443.768489870239</v>
      </c>
      <c r="P104">
        <v>26258.921526117723</v>
      </c>
      <c r="Q104">
        <v>9181.25376407781</v>
      </c>
      <c r="R104">
        <v>10050.628301591887</v>
      </c>
      <c r="S104">
        <v>397.48596705181654</v>
      </c>
      <c r="T104">
        <v>2872.1697912848435</v>
      </c>
      <c r="U104">
        <v>4924.0209832062956</v>
      </c>
      <c r="V104">
        <v>9459.9833840088995</v>
      </c>
      <c r="W104">
        <v>61185.047403697776</v>
      </c>
      <c r="X104">
        <v>408042.50181270705</v>
      </c>
      <c r="Y104">
        <v>1342629.1822137423</v>
      </c>
      <c r="Z104">
        <v>1081382.1763303021</v>
      </c>
      <c r="AA104">
        <v>456214.10804674472</v>
      </c>
      <c r="AB104">
        <v>32149.872252772486</v>
      </c>
      <c r="AC104">
        <v>321065.63238644006</v>
      </c>
      <c r="AD104">
        <v>86261.80111292949</v>
      </c>
      <c r="AE104">
        <v>228975.99728316968</v>
      </c>
      <c r="AF104">
        <v>303210.17994065664</v>
      </c>
      <c r="AG104">
        <v>166957.39881563318</v>
      </c>
      <c r="AH104">
        <v>110417.52022298342</v>
      </c>
      <c r="AI104">
        <v>27678.163113255243</v>
      </c>
      <c r="AJ104">
        <v>2124726.2430541194</v>
      </c>
      <c r="AK104">
        <v>28804.726385180991</v>
      </c>
      <c r="AL104">
        <v>152241.76478187402</v>
      </c>
      <c r="AM104">
        <v>2296492.9239186873</v>
      </c>
      <c r="AN104">
        <v>2571859.022757302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2:AU116"/>
  <sheetViews>
    <sheetView tabSelected="1" workbookViewId="0">
      <pane xSplit="1" ySplit="4" topLeftCell="AR89" activePane="bottomRight" state="frozen"/>
      <selection pane="topRight" activeCell="B1" sqref="B1"/>
      <selection pane="bottomLeft" activeCell="A5" sqref="A5"/>
      <selection pane="bottomRight" activeCell="AU105" sqref="AU105"/>
    </sheetView>
  </sheetViews>
  <sheetFormatPr baseColWidth="10" defaultRowHeight="15" x14ac:dyDescent="0.25"/>
  <cols>
    <col min="2" max="2" width="34.42578125" bestFit="1" customWidth="1"/>
    <col min="3" max="3" width="19.5703125" bestFit="1" customWidth="1"/>
    <col min="4" max="4" width="28.5703125" bestFit="1" customWidth="1"/>
    <col min="5" max="7" width="28.5703125" customWidth="1"/>
    <col min="8" max="8" width="22" bestFit="1" customWidth="1"/>
    <col min="9" max="9" width="22" customWidth="1"/>
    <col min="10" max="10" width="26.7109375" bestFit="1" customWidth="1"/>
    <col min="11" max="12" width="26.7109375" customWidth="1"/>
    <col min="13" max="13" width="44.5703125" bestFit="1" customWidth="1"/>
    <col min="14" max="14" width="13.28515625" bestFit="1" customWidth="1"/>
    <col min="15" max="15" width="51.85546875" bestFit="1" customWidth="1"/>
    <col min="16" max="16" width="23" bestFit="1" customWidth="1"/>
    <col min="17" max="17" width="30.42578125" bestFit="1" customWidth="1"/>
    <col min="18" max="18" width="20.42578125" bestFit="1" customWidth="1"/>
    <col min="19" max="19" width="47.42578125" bestFit="1" customWidth="1"/>
    <col min="20" max="20" width="23.85546875" bestFit="1" customWidth="1"/>
    <col min="21" max="21" width="10.5703125" bestFit="1" customWidth="1"/>
    <col min="22" max="22" width="22.140625" bestFit="1" customWidth="1"/>
    <col min="23" max="23" width="39.5703125" bestFit="1" customWidth="1"/>
    <col min="24" max="24" width="21.85546875" bestFit="1" customWidth="1"/>
    <col min="25" max="25" width="25.140625" bestFit="1" customWidth="1"/>
    <col min="26" max="26" width="27.85546875" bestFit="1" customWidth="1"/>
    <col min="27" max="28" width="27.85546875" customWidth="1"/>
    <col min="29" max="29" width="47.140625" bestFit="1" customWidth="1"/>
    <col min="30" max="30" width="47.140625" customWidth="1"/>
    <col min="31" max="31" width="22.7109375" bestFit="1" customWidth="1"/>
    <col min="32" max="32" width="26.7109375" bestFit="1" customWidth="1"/>
    <col min="42" max="42" width="14.42578125" customWidth="1"/>
    <col min="43" max="43" width="12" bestFit="1" customWidth="1"/>
  </cols>
  <sheetData>
    <row r="2" spans="1:47" x14ac:dyDescent="0.25">
      <c r="H2" s="3" t="s">
        <v>7</v>
      </c>
      <c r="I2" s="3"/>
    </row>
    <row r="4" spans="1:47" s="14" customFormat="1" ht="78" customHeight="1" x14ac:dyDescent="0.25">
      <c r="A4" s="12" t="s">
        <v>0</v>
      </c>
      <c r="B4" s="11" t="s">
        <v>24</v>
      </c>
      <c r="C4" s="11" t="s">
        <v>8</v>
      </c>
      <c r="D4" s="16" t="s">
        <v>42</v>
      </c>
      <c r="E4" s="16" t="s">
        <v>48</v>
      </c>
      <c r="F4" s="16" t="s">
        <v>49</v>
      </c>
      <c r="G4" s="16"/>
      <c r="H4" s="17" t="s">
        <v>25</v>
      </c>
      <c r="I4" s="17" t="s">
        <v>26</v>
      </c>
      <c r="J4" s="22" t="s">
        <v>43</v>
      </c>
      <c r="K4" s="43" t="s">
        <v>45</v>
      </c>
      <c r="L4" s="43" t="s">
        <v>46</v>
      </c>
      <c r="M4" s="13" t="s">
        <v>27</v>
      </c>
      <c r="N4" s="13" t="s">
        <v>28</v>
      </c>
      <c r="O4" s="13" t="s">
        <v>29</v>
      </c>
      <c r="P4" s="13" t="s">
        <v>30</v>
      </c>
      <c r="Q4" s="13" t="s">
        <v>31</v>
      </c>
      <c r="R4" s="13" t="s">
        <v>32</v>
      </c>
      <c r="S4" s="13" t="s">
        <v>33</v>
      </c>
      <c r="T4" s="13" t="s">
        <v>34</v>
      </c>
      <c r="U4" s="13" t="s">
        <v>35</v>
      </c>
      <c r="V4" s="13" t="s">
        <v>36</v>
      </c>
      <c r="W4" s="13" t="s">
        <v>37</v>
      </c>
      <c r="X4" s="13" t="s">
        <v>38</v>
      </c>
      <c r="Y4" s="13" t="s">
        <v>39</v>
      </c>
      <c r="Z4" s="11" t="s">
        <v>20</v>
      </c>
      <c r="AA4" s="11" t="s">
        <v>48</v>
      </c>
      <c r="AB4" s="11" t="s">
        <v>49</v>
      </c>
      <c r="AC4" s="11" t="s">
        <v>9</v>
      </c>
      <c r="AD4" s="44" t="s">
        <v>47</v>
      </c>
      <c r="AE4" s="18" t="s">
        <v>10</v>
      </c>
      <c r="AF4" s="19" t="s">
        <v>21</v>
      </c>
      <c r="AG4" s="15" t="s">
        <v>11</v>
      </c>
      <c r="AH4" s="15" t="s">
        <v>22</v>
      </c>
      <c r="AI4" s="15" t="s">
        <v>12</v>
      </c>
      <c r="AJ4" s="15" t="s">
        <v>23</v>
      </c>
      <c r="AK4" s="20" t="s">
        <v>13</v>
      </c>
      <c r="AL4" s="7" t="s">
        <v>14</v>
      </c>
      <c r="AM4" s="7" t="s">
        <v>40</v>
      </c>
      <c r="AN4" s="7" t="s">
        <v>41</v>
      </c>
      <c r="AO4" s="21" t="s">
        <v>19</v>
      </c>
      <c r="AP4" s="11" t="s">
        <v>15</v>
      </c>
      <c r="AQ4" s="11" t="s">
        <v>16</v>
      </c>
      <c r="AR4" s="21" t="s">
        <v>17</v>
      </c>
      <c r="AS4" s="21" t="s">
        <v>18</v>
      </c>
      <c r="AT4" s="58" t="s">
        <v>48</v>
      </c>
      <c r="AU4" s="58" t="s">
        <v>49</v>
      </c>
    </row>
    <row r="5" spans="1:47" x14ac:dyDescent="0.25">
      <c r="A5" s="1">
        <v>36951</v>
      </c>
      <c r="B5" s="6">
        <v>99205.434980210906</v>
      </c>
      <c r="C5" s="6">
        <v>-18261.356477010399</v>
      </c>
      <c r="D5" s="6">
        <v>275111.24125272699</v>
      </c>
      <c r="E5" s="6"/>
      <c r="F5" s="6"/>
      <c r="G5" s="6"/>
      <c r="H5" s="6">
        <v>273118.68495968502</v>
      </c>
      <c r="I5" s="6">
        <v>1998.8442672773699</v>
      </c>
      <c r="J5" s="6">
        <v>118117.44896105</v>
      </c>
      <c r="K5" s="6">
        <v>67567.047466999604</v>
      </c>
      <c r="L5" s="6">
        <v>42244.197028497503</v>
      </c>
      <c r="M5" s="6">
        <v>25437.0868343519</v>
      </c>
      <c r="N5">
        <v>9273.57847392861</v>
      </c>
      <c r="O5">
        <v>1008.36481193401</v>
      </c>
      <c r="P5">
        <v>4013.4406609154898</v>
      </c>
      <c r="Q5">
        <v>51347.722198747098</v>
      </c>
      <c r="R5">
        <v>5344.7249435662998</v>
      </c>
      <c r="S5">
        <v>8371.2237892800695</v>
      </c>
      <c r="T5">
        <v>3877.7703307352799</v>
      </c>
      <c r="U5">
        <v>2605.2564824819801</v>
      </c>
      <c r="V5">
        <v>108.946846994266</v>
      </c>
      <c r="W5">
        <v>1455.10784549817</v>
      </c>
      <c r="X5">
        <v>1466.4552853284699</v>
      </c>
      <c r="Y5">
        <v>4981.7925797301596</v>
      </c>
      <c r="Z5">
        <v>14138.713005897</v>
      </c>
      <c r="AC5">
        <v>75062.557849827601</v>
      </c>
      <c r="AD5">
        <v>494968.64059012901</v>
      </c>
      <c r="AE5">
        <v>356623.11063743703</v>
      </c>
      <c r="AF5">
        <v>120988.429287753</v>
      </c>
      <c r="AG5">
        <v>10600.0366179997</v>
      </c>
      <c r="AH5">
        <v>116095.33263619</v>
      </c>
      <c r="AI5">
        <v>23769.5623934699</v>
      </c>
      <c r="AJ5">
        <v>84743.761302341198</v>
      </c>
      <c r="AK5">
        <v>138192.04547571801</v>
      </c>
      <c r="AL5">
        <v>75534.607384529896</v>
      </c>
      <c r="AM5">
        <v>51753.532956821902</v>
      </c>
      <c r="AN5">
        <v>10925.4963315479</v>
      </c>
      <c r="AO5">
        <v>1057885.9446405501</v>
      </c>
      <c r="AP5">
        <v>27996.523117253499</v>
      </c>
      <c r="AQ5">
        <v>63695.730475958902</v>
      </c>
      <c r="AR5">
        <v>1148806.6809163401</v>
      </c>
      <c r="AS5">
        <v>871118.39697342704</v>
      </c>
    </row>
    <row r="6" spans="1:47" x14ac:dyDescent="0.25">
      <c r="A6" s="1">
        <f>EDATE(A5,3)</f>
        <v>37043</v>
      </c>
      <c r="B6" s="6">
        <v>101127.673293311</v>
      </c>
      <c r="C6" s="6">
        <v>-18862.4086272682</v>
      </c>
      <c r="D6" s="6">
        <v>262089.98088186601</v>
      </c>
      <c r="E6" s="6"/>
      <c r="F6" s="6"/>
      <c r="G6" s="6"/>
      <c r="H6" s="6">
        <v>259934.56376234401</v>
      </c>
      <c r="I6" s="6">
        <v>2061.4504550358502</v>
      </c>
      <c r="J6" s="6">
        <v>116435.362935293</v>
      </c>
      <c r="K6" s="6">
        <v>70762.889917493594</v>
      </c>
      <c r="L6" s="6">
        <v>45265.234870496497</v>
      </c>
      <c r="M6" s="6">
        <v>25177.144299375101</v>
      </c>
      <c r="N6">
        <v>11954.4481493681</v>
      </c>
      <c r="O6">
        <v>1079.85549546111</v>
      </c>
      <c r="P6">
        <v>4099.1725285942803</v>
      </c>
      <c r="Q6">
        <v>45579.929948865502</v>
      </c>
      <c r="R6">
        <v>5312.0057854188399</v>
      </c>
      <c r="S6">
        <v>8169.8199469070496</v>
      </c>
      <c r="T6">
        <v>3890.5946921530199</v>
      </c>
      <c r="U6">
        <v>2622.6630624795698</v>
      </c>
      <c r="V6">
        <v>111.02829361869</v>
      </c>
      <c r="W6">
        <v>1644.4688000358401</v>
      </c>
      <c r="X6">
        <v>1589.9022339637399</v>
      </c>
      <c r="Y6">
        <v>5041.7769741807497</v>
      </c>
      <c r="Z6">
        <v>14846.2825314566</v>
      </c>
      <c r="AC6">
        <v>70282.797343880695</v>
      </c>
      <c r="AD6">
        <v>498644.00616532401</v>
      </c>
      <c r="AE6">
        <v>358655.52413243102</v>
      </c>
      <c r="AF6">
        <v>122481.539314573</v>
      </c>
      <c r="AG6">
        <v>9578.0676074625007</v>
      </c>
      <c r="AH6">
        <v>117474.726073556</v>
      </c>
      <c r="AI6">
        <v>24547.754512865798</v>
      </c>
      <c r="AJ6">
        <v>85515.633216466595</v>
      </c>
      <c r="AK6">
        <v>139707.41016255401</v>
      </c>
      <c r="AL6">
        <v>76628.2596204765</v>
      </c>
      <c r="AM6">
        <v>52163.779335391497</v>
      </c>
      <c r="AN6">
        <v>11013.459029928001</v>
      </c>
      <c r="AO6">
        <v>1046427.5811734101</v>
      </c>
      <c r="AP6">
        <v>26302.123963215599</v>
      </c>
      <c r="AQ6">
        <v>64067.687742599803</v>
      </c>
      <c r="AR6">
        <v>1136601.4036914201</v>
      </c>
      <c r="AS6">
        <v>871818.401197862</v>
      </c>
    </row>
    <row r="7" spans="1:47" x14ac:dyDescent="0.25">
      <c r="A7" s="1">
        <f t="shared" ref="A7:A70" si="0">EDATE(A6,3)</f>
        <v>37135</v>
      </c>
      <c r="B7" s="6">
        <v>103443.98948886</v>
      </c>
      <c r="C7" s="6">
        <v>-19513.087327672401</v>
      </c>
      <c r="D7" s="6">
        <v>264644.86972151499</v>
      </c>
      <c r="E7" s="6"/>
      <c r="F7" s="6"/>
      <c r="G7" s="6"/>
      <c r="H7" s="6">
        <v>262594.09121837298</v>
      </c>
      <c r="I7" s="6">
        <v>2067.9307396363001</v>
      </c>
      <c r="J7" s="6">
        <v>117553.731682531</v>
      </c>
      <c r="K7" s="6">
        <v>70060.001049014099</v>
      </c>
      <c r="L7" s="6">
        <v>45983.807149374697</v>
      </c>
      <c r="M7" s="6">
        <v>24331.830290451198</v>
      </c>
      <c r="N7">
        <v>12175.9167117212</v>
      </c>
      <c r="O7">
        <v>1149.9428853647901</v>
      </c>
      <c r="P7">
        <v>4147.9347792296103</v>
      </c>
      <c r="Q7">
        <v>47354.993212759102</v>
      </c>
      <c r="R7">
        <v>5329.1476177854502</v>
      </c>
      <c r="S7">
        <v>8270.9548907213994</v>
      </c>
      <c r="T7">
        <v>3914.1668445723999</v>
      </c>
      <c r="U7">
        <v>2680.14335089311</v>
      </c>
      <c r="V7">
        <v>114.807345180662</v>
      </c>
      <c r="W7">
        <v>1537.8773777716899</v>
      </c>
      <c r="X7">
        <v>1662.6281792526099</v>
      </c>
      <c r="Y7">
        <v>5130.8527311806702</v>
      </c>
      <c r="Z7">
        <v>14876.981890148299</v>
      </c>
      <c r="AC7">
        <v>69883.076706413602</v>
      </c>
      <c r="AD7">
        <v>507977.16456887597</v>
      </c>
      <c r="AE7">
        <v>366786.660033616</v>
      </c>
      <c r="AF7">
        <v>124180.052372923</v>
      </c>
      <c r="AG7">
        <v>11947.3638944213</v>
      </c>
      <c r="AH7">
        <v>118681.08614529599</v>
      </c>
      <c r="AI7">
        <v>25414.326405097399</v>
      </c>
      <c r="AJ7">
        <v>86197.706408675498</v>
      </c>
      <c r="AK7">
        <v>141146.26710160801</v>
      </c>
      <c r="AL7">
        <v>77467.471647898798</v>
      </c>
      <c r="AM7">
        <v>52458.320181733397</v>
      </c>
      <c r="AN7">
        <v>11109.3410798767</v>
      </c>
      <c r="AO7">
        <v>1061507.15960205</v>
      </c>
      <c r="AP7">
        <v>26500.354546518302</v>
      </c>
      <c r="AQ7">
        <v>65768.042304178001</v>
      </c>
      <c r="AR7">
        <v>1155074.8135552399</v>
      </c>
      <c r="AS7">
        <v>889861.79282881005</v>
      </c>
    </row>
    <row r="8" spans="1:47" x14ac:dyDescent="0.25">
      <c r="A8" s="1">
        <f t="shared" si="0"/>
        <v>37226</v>
      </c>
      <c r="B8" s="6">
        <v>104087.055151732</v>
      </c>
      <c r="C8" s="6">
        <v>-20226.923577975002</v>
      </c>
      <c r="D8" s="6">
        <v>247065.89392498601</v>
      </c>
      <c r="E8" s="6"/>
      <c r="F8" s="6"/>
      <c r="G8" s="6"/>
      <c r="H8" s="6">
        <v>245084.10849700699</v>
      </c>
      <c r="I8" s="6">
        <v>2034.2756709361299</v>
      </c>
      <c r="J8" s="6">
        <v>122954.261484521</v>
      </c>
      <c r="K8" s="6">
        <v>73082.423480953206</v>
      </c>
      <c r="L8" s="6">
        <v>47869.664376388202</v>
      </c>
      <c r="M8" s="6">
        <v>25273.324725332099</v>
      </c>
      <c r="N8">
        <v>13748.1543440527</v>
      </c>
      <c r="O8">
        <v>1183.45160983865</v>
      </c>
      <c r="P8">
        <v>4132.0204923564997</v>
      </c>
      <c r="Q8">
        <v>49851.330135437798</v>
      </c>
      <c r="R8">
        <v>5388.5902304562997</v>
      </c>
      <c r="S8">
        <v>8393.3445126823099</v>
      </c>
      <c r="T8">
        <v>3940.2899535220099</v>
      </c>
      <c r="U8">
        <v>2714.9488564071698</v>
      </c>
      <c r="V8">
        <v>119.21564904722401</v>
      </c>
      <c r="W8">
        <v>1511.65038581523</v>
      </c>
      <c r="X8">
        <v>1751.3245994690601</v>
      </c>
      <c r="Y8">
        <v>5212.4858813337696</v>
      </c>
      <c r="Z8">
        <v>15499.277021596699</v>
      </c>
      <c r="AC8">
        <v>71086.663970461901</v>
      </c>
      <c r="AD8">
        <v>517545.442393745</v>
      </c>
      <c r="AE8">
        <v>373950.13149349397</v>
      </c>
      <c r="AF8">
        <v>126087.77463839699</v>
      </c>
      <c r="AG8">
        <v>14527.8689172543</v>
      </c>
      <c r="AH8">
        <v>120544.36785898601</v>
      </c>
      <c r="AI8">
        <v>26367.289816329099</v>
      </c>
      <c r="AJ8">
        <v>86779.685902554294</v>
      </c>
      <c r="AK8">
        <v>143934.514159238</v>
      </c>
      <c r="AL8">
        <v>79707.418970186205</v>
      </c>
      <c r="AM8">
        <v>53022.9694494305</v>
      </c>
      <c r="AN8">
        <v>11203.558611423399</v>
      </c>
      <c r="AO8">
        <v>1056701.66175542</v>
      </c>
      <c r="AP8">
        <v>25002.611929376999</v>
      </c>
      <c r="AQ8">
        <v>67117.464647295899</v>
      </c>
      <c r="AR8">
        <v>1148126.92758567</v>
      </c>
      <c r="AS8">
        <v>904626.904968046</v>
      </c>
    </row>
    <row r="9" spans="1:47" x14ac:dyDescent="0.25">
      <c r="A9" s="1">
        <f t="shared" si="0"/>
        <v>37316</v>
      </c>
      <c r="B9" s="6">
        <v>102293.738464202</v>
      </c>
      <c r="C9" s="6">
        <v>-20959.751391359499</v>
      </c>
      <c r="D9" s="6">
        <v>256858.95957481701</v>
      </c>
      <c r="E9" s="6"/>
      <c r="F9" s="6"/>
      <c r="G9" s="6"/>
      <c r="H9" s="6">
        <v>254727.987025412</v>
      </c>
      <c r="I9" s="6">
        <v>2070.1571756736898</v>
      </c>
      <c r="J9" s="6">
        <v>122795.313661964</v>
      </c>
      <c r="K9" s="6">
        <v>72269.437526953203</v>
      </c>
      <c r="L9" s="6">
        <v>48717.5525066915</v>
      </c>
      <c r="M9" s="6">
        <v>23480.900768851501</v>
      </c>
      <c r="N9">
        <v>12685.579970708501</v>
      </c>
      <c r="O9">
        <v>1168.2360111640701</v>
      </c>
      <c r="P9">
        <v>4093.0325152154401</v>
      </c>
      <c r="Q9">
        <v>52046.363699037902</v>
      </c>
      <c r="R9">
        <v>5490.0448669606203</v>
      </c>
      <c r="S9">
        <v>9122.81260103151</v>
      </c>
      <c r="T9">
        <v>3990.3224003273499</v>
      </c>
      <c r="U9">
        <v>2790.87145313052</v>
      </c>
      <c r="V9">
        <v>123.556112979866</v>
      </c>
      <c r="W9">
        <v>1635.13573478388</v>
      </c>
      <c r="X9">
        <v>1924.11821503737</v>
      </c>
      <c r="Y9">
        <v>5395.0949877700104</v>
      </c>
      <c r="Z9">
        <v>15439.2356297196</v>
      </c>
      <c r="AC9">
        <v>74081.339821827496</v>
      </c>
      <c r="AD9">
        <v>523246.77220492699</v>
      </c>
      <c r="AE9">
        <v>376468.68787992699</v>
      </c>
      <c r="AF9">
        <v>128003.695534604</v>
      </c>
      <c r="AG9">
        <v>11734.135293105601</v>
      </c>
      <c r="AH9">
        <v>123757.062839652</v>
      </c>
      <c r="AI9">
        <v>27358.870652601399</v>
      </c>
      <c r="AJ9">
        <v>87197.176340786697</v>
      </c>
      <c r="AK9">
        <v>146663.82769186399</v>
      </c>
      <c r="AL9">
        <v>81959.700978478097</v>
      </c>
      <c r="AM9">
        <v>53456.510018734203</v>
      </c>
      <c r="AN9">
        <v>11275.9005533734</v>
      </c>
      <c r="AO9">
        <v>1072677.02714726</v>
      </c>
      <c r="AP9">
        <v>36332.5397127295</v>
      </c>
      <c r="AQ9">
        <v>69893.218895114798</v>
      </c>
      <c r="AR9">
        <v>1177539.7144862299</v>
      </c>
      <c r="AS9">
        <v>920708.575739205</v>
      </c>
    </row>
    <row r="10" spans="1:47" x14ac:dyDescent="0.25">
      <c r="A10" s="1">
        <f t="shared" si="0"/>
        <v>37408</v>
      </c>
      <c r="B10" s="6">
        <v>102238.598751296</v>
      </c>
      <c r="C10" s="6">
        <v>-21692.043527046801</v>
      </c>
      <c r="D10" s="6">
        <v>265825.04950236698</v>
      </c>
      <c r="E10" s="6"/>
      <c r="F10" s="6"/>
      <c r="G10" s="6"/>
      <c r="H10" s="6">
        <v>263632.61896941502</v>
      </c>
      <c r="I10" s="6">
        <v>2059.1759364295299</v>
      </c>
      <c r="J10" s="6">
        <v>122436.481658313</v>
      </c>
      <c r="K10" s="6">
        <v>69582.128176647995</v>
      </c>
      <c r="L10" s="6">
        <v>45222.376920556097</v>
      </c>
      <c r="M10" s="6">
        <v>24083.044553821899</v>
      </c>
      <c r="N10">
        <v>11267.0395876848</v>
      </c>
      <c r="O10">
        <v>1199.34106743606</v>
      </c>
      <c r="P10">
        <v>4006.6923174325798</v>
      </c>
      <c r="Q10">
        <v>52384.333037573197</v>
      </c>
      <c r="R10">
        <v>5566.7677751074298</v>
      </c>
      <c r="S10">
        <v>7844.6245389173901</v>
      </c>
      <c r="T10">
        <v>4015.1613998278299</v>
      </c>
      <c r="U10">
        <v>2649.7919638407002</v>
      </c>
      <c r="V10">
        <v>128.983894605383</v>
      </c>
      <c r="W10">
        <v>1531.47454980101</v>
      </c>
      <c r="X10">
        <v>1958.65015962493</v>
      </c>
      <c r="Y10">
        <v>5227.7964928726096</v>
      </c>
      <c r="Z10">
        <v>15387.734601492901</v>
      </c>
      <c r="AC10">
        <v>76116.340657264198</v>
      </c>
      <c r="AD10">
        <v>530907.79753391002</v>
      </c>
      <c r="AE10">
        <v>380387.16199205199</v>
      </c>
      <c r="AF10">
        <v>130087.498732569</v>
      </c>
      <c r="AG10">
        <v>10446.3420784718</v>
      </c>
      <c r="AH10">
        <v>125703.651915643</v>
      </c>
      <c r="AI10">
        <v>28350.642101145098</v>
      </c>
      <c r="AJ10">
        <v>87825.953184321203</v>
      </c>
      <c r="AK10">
        <v>149904.29913642901</v>
      </c>
      <c r="AL10">
        <v>84403.118563217693</v>
      </c>
      <c r="AM10">
        <v>54055.382544831897</v>
      </c>
      <c r="AN10">
        <v>11354.4720509173</v>
      </c>
      <c r="AO10">
        <v>1094284.19751428</v>
      </c>
      <c r="AP10">
        <v>37909.028455099899</v>
      </c>
      <c r="AQ10">
        <v>72256.481390282497</v>
      </c>
      <c r="AR10">
        <v>1203437.63043489</v>
      </c>
      <c r="AS10">
        <v>935168.79638712597</v>
      </c>
    </row>
    <row r="11" spans="1:47" x14ac:dyDescent="0.25">
      <c r="A11" s="1">
        <f t="shared" si="0"/>
        <v>37500</v>
      </c>
      <c r="B11" s="6">
        <v>101347.25090835401</v>
      </c>
      <c r="C11" s="6">
        <v>-22327.264172919698</v>
      </c>
      <c r="D11" s="6">
        <v>269474.22146598302</v>
      </c>
      <c r="E11" s="6"/>
      <c r="F11" s="6"/>
      <c r="G11" s="6"/>
      <c r="H11" s="6">
        <v>267391.73892506002</v>
      </c>
      <c r="I11" s="6">
        <v>2039.85157628915</v>
      </c>
      <c r="J11" s="6">
        <v>126517.71014535399</v>
      </c>
      <c r="K11" s="6">
        <v>71646.137976255995</v>
      </c>
      <c r="L11" s="6">
        <v>47567.576736434603</v>
      </c>
      <c r="M11" s="6">
        <v>24302.906570711399</v>
      </c>
      <c r="N11">
        <v>11557.5156879603</v>
      </c>
      <c r="O11">
        <v>1074.1409710820899</v>
      </c>
      <c r="P11">
        <v>4006.22733323188</v>
      </c>
      <c r="Q11">
        <v>54810.006475838301</v>
      </c>
      <c r="R11">
        <v>5616.1749412956497</v>
      </c>
      <c r="S11">
        <v>9463.1848912693495</v>
      </c>
      <c r="T11">
        <v>4055.7468472241299</v>
      </c>
      <c r="U11">
        <v>2731.0862276665998</v>
      </c>
      <c r="V11">
        <v>132.295730113763</v>
      </c>
      <c r="W11">
        <v>1597.4790400884699</v>
      </c>
      <c r="X11">
        <v>2012.5641740296201</v>
      </c>
      <c r="Y11">
        <v>5373.6785458583299</v>
      </c>
      <c r="Z11">
        <v>15722.9417285939</v>
      </c>
      <c r="AC11">
        <v>75797.919357106497</v>
      </c>
      <c r="AD11">
        <v>542117.842382723</v>
      </c>
      <c r="AE11">
        <v>391244.37637259002</v>
      </c>
      <c r="AF11">
        <v>132719.84497893401</v>
      </c>
      <c r="AG11">
        <v>14428.4297047698</v>
      </c>
      <c r="AH11">
        <v>127708.424674091</v>
      </c>
      <c r="AI11">
        <v>29280.5611592727</v>
      </c>
      <c r="AJ11">
        <v>88526.554736246297</v>
      </c>
      <c r="AK11">
        <v>150826.988805031</v>
      </c>
      <c r="AL11">
        <v>84954.801239891298</v>
      </c>
      <c r="AM11">
        <v>54441.468256626002</v>
      </c>
      <c r="AN11">
        <v>11453.2451221225</v>
      </c>
      <c r="AO11">
        <v>1114465.9983902201</v>
      </c>
      <c r="AP11">
        <v>28215.855101557001</v>
      </c>
      <c r="AQ11">
        <v>74052.687862905703</v>
      </c>
      <c r="AR11">
        <v>1218141.7588569601</v>
      </c>
      <c r="AS11">
        <v>947362.44239482097</v>
      </c>
    </row>
    <row r="12" spans="1:47" x14ac:dyDescent="0.25">
      <c r="A12" s="1">
        <f t="shared" si="0"/>
        <v>37591</v>
      </c>
      <c r="B12" s="6">
        <v>105451.303242768</v>
      </c>
      <c r="C12" s="6">
        <v>-22858.713279926302</v>
      </c>
      <c r="D12" s="6">
        <v>289675.79925961402</v>
      </c>
      <c r="E12" s="6"/>
      <c r="F12" s="6"/>
      <c r="G12" s="6"/>
      <c r="H12" s="6">
        <v>287594.32671533799</v>
      </c>
      <c r="I12" s="6">
        <v>2101.6643115687998</v>
      </c>
      <c r="J12" s="6">
        <v>124415.332997358</v>
      </c>
      <c r="K12" s="6">
        <v>73931.902352687495</v>
      </c>
      <c r="L12" s="6">
        <v>49593.250934399599</v>
      </c>
      <c r="M12" s="6">
        <v>24467.1819590901</v>
      </c>
      <c r="N12">
        <v>14300.801415423601</v>
      </c>
      <c r="O12">
        <v>1227.4951203435</v>
      </c>
      <c r="P12">
        <v>4033.9040343122501</v>
      </c>
      <c r="Q12">
        <v>50063.294850195402</v>
      </c>
      <c r="R12">
        <v>5636.3487941536396</v>
      </c>
      <c r="S12">
        <v>8777.8687000214995</v>
      </c>
      <c r="T12">
        <v>4061.2648035829802</v>
      </c>
      <c r="U12">
        <v>2706.7959576926</v>
      </c>
      <c r="V12">
        <v>132.367156468453</v>
      </c>
      <c r="W12">
        <v>1647.5964644677899</v>
      </c>
      <c r="X12">
        <v>2059.1640944983301</v>
      </c>
      <c r="Y12">
        <v>5271.8708348624295</v>
      </c>
      <c r="Z12">
        <v>15871.708939783501</v>
      </c>
      <c r="AC12">
        <v>74882.6118061038</v>
      </c>
      <c r="AD12">
        <v>549039.27650224406</v>
      </c>
      <c r="AE12">
        <v>397236.06347387302</v>
      </c>
      <c r="AF12">
        <v>135315.484931151</v>
      </c>
      <c r="AG12">
        <v>14549.3471321134</v>
      </c>
      <c r="AH12">
        <v>129781.78632679601</v>
      </c>
      <c r="AI12">
        <v>30164.865128344401</v>
      </c>
      <c r="AJ12">
        <v>89468.551335606797</v>
      </c>
      <c r="AK12">
        <v>152157.20952963</v>
      </c>
      <c r="AL12">
        <v>85620.506689010304</v>
      </c>
      <c r="AM12">
        <v>55026.765309214097</v>
      </c>
      <c r="AN12">
        <v>11562.375087897601</v>
      </c>
      <c r="AO12">
        <v>1136751.11365463</v>
      </c>
      <c r="AP12">
        <v>26865.4731692561</v>
      </c>
      <c r="AQ12">
        <v>74334.872010786799</v>
      </c>
      <c r="AR12">
        <v>1236659.5032406601</v>
      </c>
      <c r="AS12">
        <v>953309.907348515</v>
      </c>
    </row>
    <row r="13" spans="1:47" x14ac:dyDescent="0.25">
      <c r="A13" s="1">
        <f t="shared" si="0"/>
        <v>37681</v>
      </c>
      <c r="B13" s="6">
        <v>110192.940281844</v>
      </c>
      <c r="C13" s="6">
        <v>-23211.249528780001</v>
      </c>
      <c r="D13" s="6">
        <v>287587.418823516</v>
      </c>
      <c r="E13" s="6"/>
      <c r="F13" s="6"/>
      <c r="G13" s="6"/>
      <c r="H13" s="6">
        <v>285464.78546638199</v>
      </c>
      <c r="I13" s="6">
        <v>2053.73919937148</v>
      </c>
      <c r="J13" s="6">
        <v>121973.012834992</v>
      </c>
      <c r="K13" s="6">
        <v>72661.091407024302</v>
      </c>
      <c r="L13" s="6">
        <v>48428.798279879898</v>
      </c>
      <c r="M13" s="6">
        <v>24207.398838447902</v>
      </c>
      <c r="N13">
        <v>13074.6878066839</v>
      </c>
      <c r="O13">
        <v>1190.3502113566999</v>
      </c>
      <c r="P13">
        <v>4209.5080219535603</v>
      </c>
      <c r="Q13">
        <v>48921.065438474099</v>
      </c>
      <c r="R13">
        <v>5623.6309748702697</v>
      </c>
      <c r="S13">
        <v>8181.2980379050196</v>
      </c>
      <c r="T13">
        <v>4070.14759171179</v>
      </c>
      <c r="U13">
        <v>2743.1243199334099</v>
      </c>
      <c r="V13">
        <v>130.510454015401</v>
      </c>
      <c r="W13">
        <v>1691.66068566947</v>
      </c>
      <c r="X13">
        <v>2074.17694663886</v>
      </c>
      <c r="Y13">
        <v>5261.9744916405898</v>
      </c>
      <c r="Z13">
        <v>16285.518920909901</v>
      </c>
      <c r="AC13">
        <v>78024.553457527305</v>
      </c>
      <c r="AD13">
        <v>554643.28025173803</v>
      </c>
      <c r="AE13">
        <v>401129.66705031</v>
      </c>
      <c r="AF13">
        <v>138118.17364252199</v>
      </c>
      <c r="AG13">
        <v>15267.5761809263</v>
      </c>
      <c r="AH13">
        <v>129360.095543035</v>
      </c>
      <c r="AI13">
        <v>30881.403001602201</v>
      </c>
      <c r="AJ13">
        <v>90597.399836893703</v>
      </c>
      <c r="AK13">
        <v>153616.163703008</v>
      </c>
      <c r="AL13">
        <v>86088.242020311503</v>
      </c>
      <c r="AM13">
        <v>55808.248604199398</v>
      </c>
      <c r="AN13">
        <v>11739.4439155086</v>
      </c>
      <c r="AO13">
        <v>1148864.1784403899</v>
      </c>
      <c r="AP13">
        <v>22227.134760811099</v>
      </c>
      <c r="AQ13">
        <v>74724.668924852696</v>
      </c>
      <c r="AR13">
        <v>1246957.63848099</v>
      </c>
      <c r="AS13">
        <v>960303.51704744902</v>
      </c>
    </row>
    <row r="14" spans="1:47" x14ac:dyDescent="0.25">
      <c r="A14" s="1">
        <f t="shared" si="0"/>
        <v>37773</v>
      </c>
      <c r="B14" s="6">
        <v>113386.09424849199</v>
      </c>
      <c r="C14" s="6">
        <v>-23646.914722843499</v>
      </c>
      <c r="D14" s="6">
        <v>297551.47160609101</v>
      </c>
      <c r="E14" s="6"/>
      <c r="F14" s="6"/>
      <c r="G14" s="6"/>
      <c r="H14" s="6">
        <v>295344.80242000998</v>
      </c>
      <c r="I14" s="6">
        <v>2070.1314415065499</v>
      </c>
      <c r="J14" s="6">
        <v>121171.58031989</v>
      </c>
      <c r="K14" s="6">
        <v>72446.241209645799</v>
      </c>
      <c r="L14" s="6">
        <v>47876.998082646998</v>
      </c>
      <c r="M14" s="6">
        <v>24274.968992738301</v>
      </c>
      <c r="N14">
        <v>13237.518442099399</v>
      </c>
      <c r="O14">
        <v>1121.0044361995001</v>
      </c>
      <c r="P14">
        <v>3976.5466273371599</v>
      </c>
      <c r="Q14">
        <v>48538.341211439903</v>
      </c>
      <c r="R14">
        <v>5627.1285938662104</v>
      </c>
      <c r="S14">
        <v>8163.2046060927896</v>
      </c>
      <c r="T14">
        <v>4076.0836709729601</v>
      </c>
      <c r="U14">
        <v>2771.6521072770302</v>
      </c>
      <c r="V14">
        <v>130.68451757618701</v>
      </c>
      <c r="W14">
        <v>1540.2841054345499</v>
      </c>
      <c r="X14">
        <v>2011.9821945551</v>
      </c>
      <c r="Y14">
        <v>5202.1319446550397</v>
      </c>
      <c r="Z14">
        <v>16534.731352886</v>
      </c>
      <c r="AC14">
        <v>79280.741767466505</v>
      </c>
      <c r="AD14">
        <v>563234.28562221397</v>
      </c>
      <c r="AE14">
        <v>409432.60051697202</v>
      </c>
      <c r="AF14">
        <v>140761.67749156099</v>
      </c>
      <c r="AG14">
        <v>15437.0199595579</v>
      </c>
      <c r="AH14">
        <v>131254.92491627499</v>
      </c>
      <c r="AI14">
        <v>31667.980891602201</v>
      </c>
      <c r="AJ14">
        <v>91689.169020757807</v>
      </c>
      <c r="AK14">
        <v>154516.48157805999</v>
      </c>
      <c r="AL14">
        <v>86325.3428943256</v>
      </c>
      <c r="AM14">
        <v>56295.555597890598</v>
      </c>
      <c r="AN14">
        <v>11841.5946726496</v>
      </c>
      <c r="AO14">
        <v>1173068.7927741299</v>
      </c>
      <c r="AP14">
        <v>25925.318215102601</v>
      </c>
      <c r="AQ14">
        <v>75166.055168795807</v>
      </c>
      <c r="AR14">
        <v>1274374.3413688301</v>
      </c>
      <c r="AS14">
        <v>975140.59111039003</v>
      </c>
    </row>
    <row r="15" spans="1:47" x14ac:dyDescent="0.25">
      <c r="A15" s="1">
        <f t="shared" si="0"/>
        <v>37865</v>
      </c>
      <c r="B15" s="6">
        <v>116678.139114256</v>
      </c>
      <c r="C15" s="6">
        <v>-24079.440444226999</v>
      </c>
      <c r="D15" s="6">
        <v>305613.222839261</v>
      </c>
      <c r="E15" s="6"/>
      <c r="F15" s="6"/>
      <c r="G15" s="6"/>
      <c r="H15" s="6">
        <v>303268.99946373899</v>
      </c>
      <c r="I15" s="6">
        <v>2114.7126887852</v>
      </c>
      <c r="J15" s="6">
        <v>121110.56869124901</v>
      </c>
      <c r="K15" s="6">
        <v>72762.297904683393</v>
      </c>
      <c r="L15" s="6">
        <v>47772.054018646202</v>
      </c>
      <c r="M15" s="6">
        <v>25171.139043531901</v>
      </c>
      <c r="N15">
        <v>12769.521651954899</v>
      </c>
      <c r="O15">
        <v>1219.85039528076</v>
      </c>
      <c r="P15">
        <v>4062.2559860886499</v>
      </c>
      <c r="Q15">
        <v>48772.671079587402</v>
      </c>
      <c r="R15">
        <v>5648.3151181502599</v>
      </c>
      <c r="S15">
        <v>8155.3868951898403</v>
      </c>
      <c r="T15">
        <v>4076.4372779445698</v>
      </c>
      <c r="U15">
        <v>2755.61300289168</v>
      </c>
      <c r="V15">
        <v>133.98281470308299</v>
      </c>
      <c r="W15">
        <v>1584.63562618635</v>
      </c>
      <c r="X15">
        <v>2029.1247876320101</v>
      </c>
      <c r="Y15">
        <v>5162.6767965573699</v>
      </c>
      <c r="Z15">
        <v>16702.9989748277</v>
      </c>
      <c r="AC15">
        <v>80839.357616075402</v>
      </c>
      <c r="AD15">
        <v>563370.86841680598</v>
      </c>
      <c r="AE15">
        <v>407919.68009245902</v>
      </c>
      <c r="AF15">
        <v>142099.18892596799</v>
      </c>
      <c r="AG15">
        <v>10444.323673487401</v>
      </c>
      <c r="AH15">
        <v>132816.45129724499</v>
      </c>
      <c r="AI15">
        <v>32423.1608462396</v>
      </c>
      <c r="AJ15">
        <v>92779.142887227004</v>
      </c>
      <c r="AK15">
        <v>155360.70172034699</v>
      </c>
      <c r="AL15">
        <v>86602.331809287003</v>
      </c>
      <c r="AM15">
        <v>56762.392070226197</v>
      </c>
      <c r="AN15">
        <v>11956.2150104592</v>
      </c>
      <c r="AO15">
        <v>1187950.57496962</v>
      </c>
      <c r="AP15">
        <v>37171.325903587298</v>
      </c>
      <c r="AQ15">
        <v>72504.936092199307</v>
      </c>
      <c r="AR15">
        <v>1299321.21129519</v>
      </c>
      <c r="AS15">
        <v>991840.29673666798</v>
      </c>
    </row>
    <row r="16" spans="1:47" x14ac:dyDescent="0.25">
      <c r="A16" s="1">
        <f t="shared" si="0"/>
        <v>37956</v>
      </c>
      <c r="B16" s="6">
        <v>119234.186207848</v>
      </c>
      <c r="C16" s="6">
        <v>-24558.9408258933</v>
      </c>
      <c r="D16" s="6">
        <v>325031.69950562599</v>
      </c>
      <c r="E16" s="6"/>
      <c r="F16" s="6"/>
      <c r="G16" s="6"/>
      <c r="H16" s="6">
        <v>322681.983080142</v>
      </c>
      <c r="I16" s="6">
        <v>2151.6677452916301</v>
      </c>
      <c r="J16" s="6">
        <v>115872.128053382</v>
      </c>
      <c r="K16" s="6">
        <v>71569.601837330396</v>
      </c>
      <c r="L16" s="6">
        <v>46483.335249569202</v>
      </c>
      <c r="M16" s="6">
        <v>25198.711034607401</v>
      </c>
      <c r="N16">
        <v>11266.0541654564</v>
      </c>
      <c r="O16">
        <v>1133.8345627487099</v>
      </c>
      <c r="P16">
        <v>4038.3837769183601</v>
      </c>
      <c r="Q16">
        <v>44096.125109847002</v>
      </c>
      <c r="R16">
        <v>5681.3042165163297</v>
      </c>
      <c r="S16">
        <v>8312.7780565702906</v>
      </c>
      <c r="T16">
        <v>4072.20494920588</v>
      </c>
      <c r="U16">
        <v>2804.36753121011</v>
      </c>
      <c r="V16">
        <v>139.90824157715801</v>
      </c>
      <c r="W16">
        <v>1643.70292398779</v>
      </c>
      <c r="X16">
        <v>2042.7997561312</v>
      </c>
      <c r="Y16">
        <v>5234.9192898737901</v>
      </c>
      <c r="Z16">
        <v>16787.2100515321</v>
      </c>
      <c r="AC16">
        <v>82518.585919095902</v>
      </c>
      <c r="AD16">
        <v>570850.224826216</v>
      </c>
      <c r="AE16">
        <v>414947.13053812803</v>
      </c>
      <c r="AF16">
        <v>144957.98024099201</v>
      </c>
      <c r="AG16">
        <v>10589.3347379223</v>
      </c>
      <c r="AH16">
        <v>134214.46520890199</v>
      </c>
      <c r="AI16">
        <v>33216.262859203802</v>
      </c>
      <c r="AJ16">
        <v>93758.663758655806</v>
      </c>
      <c r="AK16">
        <v>156173.575161238</v>
      </c>
      <c r="AL16">
        <v>86994.344918336996</v>
      </c>
      <c r="AM16">
        <v>57103.264755916403</v>
      </c>
      <c r="AN16">
        <v>12049.1379981683</v>
      </c>
      <c r="AO16">
        <v>1206510.30664308</v>
      </c>
      <c r="AP16">
        <v>46043.350186068499</v>
      </c>
      <c r="AQ16">
        <v>75549.414009177402</v>
      </c>
      <c r="AR16">
        <v>1329379.10077566</v>
      </c>
      <c r="AS16">
        <v>1009934.90651758</v>
      </c>
    </row>
    <row r="17" spans="1:45" x14ac:dyDescent="0.25">
      <c r="A17" s="1">
        <f t="shared" si="0"/>
        <v>38047</v>
      </c>
      <c r="B17" s="6">
        <v>120064.557849955</v>
      </c>
      <c r="C17" s="6">
        <v>-25020.570950008299</v>
      </c>
      <c r="D17" s="6">
        <v>335676.217141487</v>
      </c>
      <c r="E17" s="6"/>
      <c r="F17" s="6"/>
      <c r="G17" s="6"/>
      <c r="H17" s="6">
        <v>333496.42644330597</v>
      </c>
      <c r="I17" s="6">
        <v>2187.62049305971</v>
      </c>
      <c r="J17" s="6">
        <v>119087.73509210401</v>
      </c>
      <c r="K17" s="6">
        <v>73210.093147337393</v>
      </c>
      <c r="L17" s="6">
        <v>47885.836185446198</v>
      </c>
      <c r="M17" s="6">
        <v>25394.678393924602</v>
      </c>
      <c r="N17">
        <v>12590.6101280984</v>
      </c>
      <c r="O17">
        <v>1213.16162341828</v>
      </c>
      <c r="P17">
        <v>3986.8433560063399</v>
      </c>
      <c r="Q17">
        <v>45792.493978752798</v>
      </c>
      <c r="R17">
        <v>5727.2095264621103</v>
      </c>
      <c r="S17">
        <v>8400.0512244068505</v>
      </c>
      <c r="T17">
        <v>4070.3231572843702</v>
      </c>
      <c r="U17">
        <v>2797.10185823653</v>
      </c>
      <c r="V17">
        <v>137.819912712253</v>
      </c>
      <c r="W17">
        <v>1512.4882180372799</v>
      </c>
      <c r="X17">
        <v>1987.64188756309</v>
      </c>
      <c r="Y17">
        <v>5300.5792703500701</v>
      </c>
      <c r="Z17">
        <v>16881.1485826075</v>
      </c>
      <c r="AC17">
        <v>80947.412036240901</v>
      </c>
      <c r="AD17">
        <v>573729.16325818899</v>
      </c>
      <c r="AE17">
        <v>417465.36800445901</v>
      </c>
      <c r="AF17">
        <v>146275.85908530501</v>
      </c>
      <c r="AG17">
        <v>10269.9311482457</v>
      </c>
      <c r="AH17">
        <v>136189.29005472301</v>
      </c>
      <c r="AI17">
        <v>33981.309987685199</v>
      </c>
      <c r="AJ17">
        <v>94862.376303395999</v>
      </c>
      <c r="AK17">
        <v>156906.98100537399</v>
      </c>
      <c r="AL17">
        <v>87441.8459990845</v>
      </c>
      <c r="AM17">
        <v>57331.707803285499</v>
      </c>
      <c r="AN17">
        <v>12139.671215718799</v>
      </c>
      <c r="AO17">
        <v>1230259.1220541301</v>
      </c>
      <c r="AP17">
        <v>34641.175062628303</v>
      </c>
      <c r="AQ17">
        <v>76844.160087972501</v>
      </c>
      <c r="AR17">
        <v>1341128.8897123099</v>
      </c>
      <c r="AS17">
        <v>1000522.29227936</v>
      </c>
    </row>
    <row r="18" spans="1:45" x14ac:dyDescent="0.25">
      <c r="A18" s="1">
        <f t="shared" si="0"/>
        <v>38139</v>
      </c>
      <c r="B18" s="6">
        <v>120700.490488967</v>
      </c>
      <c r="C18" s="6">
        <v>-25373.440179482401</v>
      </c>
      <c r="D18" s="6">
        <v>310913.47379019298</v>
      </c>
      <c r="E18" s="6"/>
      <c r="F18" s="6"/>
      <c r="G18" s="6"/>
      <c r="H18" s="6">
        <v>308301.19058075</v>
      </c>
      <c r="I18" s="6">
        <v>2223.7968910375798</v>
      </c>
      <c r="J18" s="6">
        <v>117331.867459229</v>
      </c>
      <c r="K18" s="6">
        <v>74415.267109768</v>
      </c>
      <c r="L18" s="6">
        <v>48436.413657539902</v>
      </c>
      <c r="M18" s="6">
        <v>25912.329811372801</v>
      </c>
      <c r="N18">
        <v>12214.8854467568</v>
      </c>
      <c r="O18">
        <v>1191.79316285809</v>
      </c>
      <c r="P18">
        <v>4111.9022085509496</v>
      </c>
      <c r="Q18">
        <v>42454.4522967382</v>
      </c>
      <c r="R18">
        <v>5761.3997759374897</v>
      </c>
      <c r="S18">
        <v>8795.1546149880105</v>
      </c>
      <c r="T18">
        <v>4105.2894414943603</v>
      </c>
      <c r="U18">
        <v>2851.2395592785801</v>
      </c>
      <c r="V18">
        <v>137.459769053597</v>
      </c>
      <c r="W18">
        <v>1707.97219644545</v>
      </c>
      <c r="X18">
        <v>2021.0525415985201</v>
      </c>
      <c r="Y18">
        <v>5345.1167692306699</v>
      </c>
      <c r="Z18">
        <v>17447.8857149426</v>
      </c>
      <c r="AC18">
        <v>86204.843345433095</v>
      </c>
      <c r="AD18">
        <v>594746.29724628001</v>
      </c>
      <c r="AE18">
        <v>439052.66773459897</v>
      </c>
      <c r="AF18">
        <v>148229.73052737999</v>
      </c>
      <c r="AG18">
        <v>22130.106293926601</v>
      </c>
      <c r="AH18">
        <v>137963.25463903</v>
      </c>
      <c r="AI18">
        <v>34644.447472120897</v>
      </c>
      <c r="AJ18">
        <v>95901.366464185907</v>
      </c>
      <c r="AK18">
        <v>157488.569903575</v>
      </c>
      <c r="AL18">
        <v>87748.497942562593</v>
      </c>
      <c r="AM18">
        <v>57485.8971397192</v>
      </c>
      <c r="AN18">
        <v>12231.0634547523</v>
      </c>
      <c r="AO18">
        <v>1228518.8724932401</v>
      </c>
      <c r="AP18">
        <v>31479.374425971699</v>
      </c>
      <c r="AQ18">
        <v>78661.3579200401</v>
      </c>
      <c r="AR18">
        <v>1338342.9721093499</v>
      </c>
      <c r="AS18">
        <v>1025997.77159082</v>
      </c>
    </row>
    <row r="19" spans="1:45" x14ac:dyDescent="0.25">
      <c r="A19" s="1">
        <f t="shared" si="0"/>
        <v>38231</v>
      </c>
      <c r="B19" s="6">
        <v>119888.235311254</v>
      </c>
      <c r="C19" s="6">
        <v>-25664.979559932399</v>
      </c>
      <c r="D19" s="6">
        <v>343573.55240011797</v>
      </c>
      <c r="E19" s="6"/>
      <c r="F19" s="6"/>
      <c r="G19" s="6"/>
      <c r="H19" s="6">
        <v>340958.82357967901</v>
      </c>
      <c r="I19" s="6">
        <v>2276.5055389878198</v>
      </c>
      <c r="J19" s="6">
        <v>105087.20058175801</v>
      </c>
      <c r="K19" s="6">
        <v>73348.084934168597</v>
      </c>
      <c r="L19" s="6">
        <v>47700.748545184098</v>
      </c>
      <c r="M19" s="6">
        <v>25788.447933894699</v>
      </c>
      <c r="N19">
        <v>12523.2563451567</v>
      </c>
      <c r="O19">
        <v>1140.6194087706899</v>
      </c>
      <c r="P19">
        <v>3952.0319451320902</v>
      </c>
      <c r="Q19">
        <v>32245.4751992903</v>
      </c>
      <c r="R19">
        <v>5782.0387823646297</v>
      </c>
      <c r="S19">
        <v>8337.4741339126704</v>
      </c>
      <c r="T19">
        <v>4133.9686077256301</v>
      </c>
      <c r="U19">
        <v>2815.8273157501399</v>
      </c>
      <c r="V19">
        <v>137.97286835112499</v>
      </c>
      <c r="W19">
        <v>1575.259131883</v>
      </c>
      <c r="X19">
        <v>2016.00631066342</v>
      </c>
      <c r="Y19">
        <v>5138.05977824824</v>
      </c>
      <c r="Z19">
        <v>17787.0811680775</v>
      </c>
      <c r="AC19">
        <v>96537.272254373296</v>
      </c>
      <c r="AD19">
        <v>586063.32346462598</v>
      </c>
      <c r="AE19">
        <v>428182.99079970899</v>
      </c>
      <c r="AF19">
        <v>149844.02368542401</v>
      </c>
      <c r="AG19">
        <v>8534.5381962620304</v>
      </c>
      <c r="AH19">
        <v>140383.179810311</v>
      </c>
      <c r="AI19">
        <v>35199.018487827001</v>
      </c>
      <c r="AJ19">
        <v>97233.227954215006</v>
      </c>
      <c r="AK19">
        <v>158236.79596305999</v>
      </c>
      <c r="AL19">
        <v>88203.912034216206</v>
      </c>
      <c r="AM19">
        <v>57711.120786822903</v>
      </c>
      <c r="AN19">
        <v>12301.566541693999</v>
      </c>
      <c r="AO19">
        <v>1254919.1627900901</v>
      </c>
      <c r="AP19">
        <v>30574.836288307299</v>
      </c>
      <c r="AQ19">
        <v>79024.628674953507</v>
      </c>
      <c r="AR19">
        <v>1365645.27982076</v>
      </c>
      <c r="AS19">
        <v>1019191.34711893</v>
      </c>
    </row>
    <row r="20" spans="1:45" x14ac:dyDescent="0.25">
      <c r="A20" s="1">
        <f t="shared" si="0"/>
        <v>38322</v>
      </c>
      <c r="B20" s="6">
        <v>115646.578517852</v>
      </c>
      <c r="C20" s="6">
        <v>-25871.182718888998</v>
      </c>
      <c r="D20" s="6">
        <v>327932.45977401303</v>
      </c>
      <c r="E20" s="6"/>
      <c r="F20" s="6"/>
      <c r="G20" s="6"/>
      <c r="H20" s="6">
        <v>325538.94475248398</v>
      </c>
      <c r="I20" s="6">
        <v>2375.9233719601398</v>
      </c>
      <c r="J20" s="6">
        <v>101654.64443166299</v>
      </c>
      <c r="K20" s="6">
        <v>71927.875514902596</v>
      </c>
      <c r="L20" s="6">
        <v>45758.215493499702</v>
      </c>
      <c r="M20" s="6">
        <v>26455.588649206202</v>
      </c>
      <c r="N20">
        <v>11253.770797768901</v>
      </c>
      <c r="O20">
        <v>1152.5861767174099</v>
      </c>
      <c r="P20">
        <v>3941.1683778697802</v>
      </c>
      <c r="Q20">
        <v>30343.498022511802</v>
      </c>
      <c r="R20">
        <v>5789.9663628983199</v>
      </c>
      <c r="S20">
        <v>7886.8750606008598</v>
      </c>
      <c r="T20">
        <v>4172.0495339557901</v>
      </c>
      <c r="U20">
        <v>2765.3034096827801</v>
      </c>
      <c r="V20">
        <v>138.96061745039799</v>
      </c>
      <c r="W20">
        <v>1620.97266932409</v>
      </c>
      <c r="X20">
        <v>2049.2878543659599</v>
      </c>
      <c r="Y20">
        <v>4911.5546586384698</v>
      </c>
      <c r="Z20">
        <v>18357.223678080802</v>
      </c>
      <c r="AC20">
        <v>85559.836331845596</v>
      </c>
      <c r="AD20">
        <v>595773.35019817203</v>
      </c>
      <c r="AE20">
        <v>437457.58664652199</v>
      </c>
      <c r="AF20">
        <v>152410.71846248399</v>
      </c>
      <c r="AG20">
        <v>7440.7932299201002</v>
      </c>
      <c r="AH20">
        <v>143452.48961650301</v>
      </c>
      <c r="AI20">
        <v>35649.8790839703</v>
      </c>
      <c r="AJ20">
        <v>98629.119530300595</v>
      </c>
      <c r="AK20">
        <v>158552.99530815901</v>
      </c>
      <c r="AL20">
        <v>88311.4748543975</v>
      </c>
      <c r="AM20">
        <v>57838.530607962202</v>
      </c>
      <c r="AN20">
        <v>12376.725965077299</v>
      </c>
      <c r="AO20">
        <v>1220279.4714835701</v>
      </c>
      <c r="AP20">
        <v>35004.555941144798</v>
      </c>
      <c r="AQ20">
        <v>84869.321581079203</v>
      </c>
      <c r="AR20">
        <v>1339118.13504471</v>
      </c>
      <c r="AS20">
        <v>1016274.67359935</v>
      </c>
    </row>
    <row r="21" spans="1:45" x14ac:dyDescent="0.25">
      <c r="A21" s="1">
        <f t="shared" si="0"/>
        <v>38412</v>
      </c>
      <c r="B21" s="6">
        <v>118264.203242922</v>
      </c>
      <c r="C21" s="6">
        <v>-25964.462943640799</v>
      </c>
      <c r="D21" s="6">
        <v>352010.69520865899</v>
      </c>
      <c r="E21" s="6"/>
      <c r="F21" s="6"/>
      <c r="G21" s="6"/>
      <c r="H21" s="6">
        <v>349393.62602839398</v>
      </c>
      <c r="I21" s="6">
        <v>2448.0131381977599</v>
      </c>
      <c r="J21" s="6">
        <v>97227.032807522701</v>
      </c>
      <c r="K21" s="6">
        <v>74234.149980370596</v>
      </c>
      <c r="L21" s="6">
        <v>46673.083741349299</v>
      </c>
      <c r="M21" s="6">
        <v>27790.469855830899</v>
      </c>
      <c r="N21">
        <v>11459.4121781502</v>
      </c>
      <c r="O21">
        <v>1140.38508707599</v>
      </c>
      <c r="P21">
        <v>3938.7863563833298</v>
      </c>
      <c r="Q21">
        <v>22855.962066365999</v>
      </c>
      <c r="R21">
        <v>5780.2168711949498</v>
      </c>
      <c r="S21">
        <v>8686.5613105423599</v>
      </c>
      <c r="T21">
        <v>4278.9497369980099</v>
      </c>
      <c r="U21">
        <v>2796.0692309709998</v>
      </c>
      <c r="V21">
        <v>148.54642815499301</v>
      </c>
      <c r="W21">
        <v>1576.94274266552</v>
      </c>
      <c r="X21">
        <v>2025.97577720652</v>
      </c>
      <c r="Y21">
        <v>4717.6473974108603</v>
      </c>
      <c r="Z21">
        <v>19165.182637950202</v>
      </c>
      <c r="AC21">
        <v>97418.716593313104</v>
      </c>
      <c r="AD21">
        <v>606961.55492727004</v>
      </c>
      <c r="AE21">
        <v>450052.06843960797</v>
      </c>
      <c r="AF21">
        <v>154191.84381277001</v>
      </c>
      <c r="AG21">
        <v>14214.7249718075</v>
      </c>
      <c r="AH21">
        <v>148587.268627249</v>
      </c>
      <c r="AI21">
        <v>35916.035174130498</v>
      </c>
      <c r="AJ21">
        <v>100285.82992944001</v>
      </c>
      <c r="AK21">
        <v>157989.753359825</v>
      </c>
      <c r="AL21">
        <v>87793.819626602199</v>
      </c>
      <c r="AM21">
        <v>57759.095337498104</v>
      </c>
      <c r="AN21">
        <v>12431.631221612801</v>
      </c>
      <c r="AO21">
        <v>1280400.2554210799</v>
      </c>
      <c r="AP21">
        <v>36343.239755861199</v>
      </c>
      <c r="AQ21">
        <v>85053.899705200005</v>
      </c>
      <c r="AR21">
        <v>1401988.76031835</v>
      </c>
      <c r="AS21">
        <v>1045055.7743424301</v>
      </c>
    </row>
    <row r="22" spans="1:45" x14ac:dyDescent="0.25">
      <c r="A22" s="1">
        <f t="shared" si="0"/>
        <v>38504</v>
      </c>
      <c r="B22" s="6">
        <v>120380.408255424</v>
      </c>
      <c r="C22" s="6">
        <v>-26358.259324110099</v>
      </c>
      <c r="D22" s="6">
        <v>370184.56254815002</v>
      </c>
      <c r="E22" s="6"/>
      <c r="F22" s="6"/>
      <c r="G22" s="6"/>
      <c r="H22" s="6">
        <v>367391.11359053198</v>
      </c>
      <c r="I22" s="6">
        <v>2499.1826287058502</v>
      </c>
      <c r="J22" s="6">
        <v>96231.583637209493</v>
      </c>
      <c r="K22" s="6">
        <v>74844.735961779894</v>
      </c>
      <c r="L22" s="6">
        <v>46874.093490319799</v>
      </c>
      <c r="M22" s="6">
        <v>28210.9481434513</v>
      </c>
      <c r="N22">
        <v>11978.820501284499</v>
      </c>
      <c r="O22">
        <v>1170.24258759553</v>
      </c>
      <c r="P22">
        <v>4009.8339912902002</v>
      </c>
      <c r="Q22">
        <v>23703.1886071558</v>
      </c>
      <c r="R22">
        <v>5829.9398415519599</v>
      </c>
      <c r="S22">
        <v>8251.7161080710594</v>
      </c>
      <c r="T22">
        <v>4265.7318710038198</v>
      </c>
      <c r="U22">
        <v>2786.60415212928</v>
      </c>
      <c r="V22">
        <v>129.038029237215</v>
      </c>
      <c r="W22">
        <v>1622.37331897986</v>
      </c>
      <c r="X22">
        <v>2057.7802162279299</v>
      </c>
      <c r="Y22">
        <v>4618.4101515326702</v>
      </c>
      <c r="Z22">
        <v>18948.477636253599</v>
      </c>
      <c r="AC22">
        <v>91447.147369670201</v>
      </c>
      <c r="AD22">
        <v>612233.03837583098</v>
      </c>
      <c r="AE22">
        <v>456026.031297351</v>
      </c>
      <c r="AF22">
        <v>155028.70984345701</v>
      </c>
      <c r="AG22">
        <v>12402.989832744501</v>
      </c>
      <c r="AH22">
        <v>152202.59633072201</v>
      </c>
      <c r="AI22">
        <v>36583.406828749597</v>
      </c>
      <c r="AJ22">
        <v>101643.278674546</v>
      </c>
      <c r="AK22">
        <v>158042.57674048</v>
      </c>
      <c r="AL22">
        <v>87643.3909978921</v>
      </c>
      <c r="AM22">
        <v>57871.574130431902</v>
      </c>
      <c r="AN22">
        <v>12510.211139544401</v>
      </c>
      <c r="AO22">
        <v>1298838.9476916499</v>
      </c>
      <c r="AP22">
        <v>34089.966198095703</v>
      </c>
      <c r="AQ22">
        <v>84439.902692806703</v>
      </c>
      <c r="AR22">
        <v>1417057.0872996601</v>
      </c>
      <c r="AS22">
        <v>1036214.89679156</v>
      </c>
    </row>
    <row r="23" spans="1:45" x14ac:dyDescent="0.25">
      <c r="A23" s="1">
        <f t="shared" si="0"/>
        <v>38596</v>
      </c>
      <c r="B23" s="6">
        <v>123590.499237924</v>
      </c>
      <c r="C23" s="6">
        <v>-27110.345573356601</v>
      </c>
      <c r="D23" s="6">
        <v>361410.253755774</v>
      </c>
      <c r="E23" s="6"/>
      <c r="F23" s="6"/>
      <c r="G23" s="6"/>
      <c r="H23" s="6">
        <v>358667.92638678203</v>
      </c>
      <c r="I23" s="6">
        <v>2504.2744548747701</v>
      </c>
      <c r="J23" s="6">
        <v>92084.760260070499</v>
      </c>
      <c r="K23" s="6">
        <v>75177.845297464999</v>
      </c>
      <c r="L23" s="6">
        <v>47051.841792373198</v>
      </c>
      <c r="M23" s="6">
        <v>28480.584095436101</v>
      </c>
      <c r="N23">
        <v>11724.278059089</v>
      </c>
      <c r="O23">
        <v>1186.9627039931199</v>
      </c>
      <c r="P23">
        <v>4056.16432136409</v>
      </c>
      <c r="Q23">
        <v>20524.917718977402</v>
      </c>
      <c r="R23">
        <v>5942.3783355660498</v>
      </c>
      <c r="S23">
        <v>8771.8264437297203</v>
      </c>
      <c r="T23">
        <v>4151.2877291733803</v>
      </c>
      <c r="U23">
        <v>2767.9683865017</v>
      </c>
      <c r="V23">
        <v>128.817039442203</v>
      </c>
      <c r="W23">
        <v>1612.12663577337</v>
      </c>
      <c r="X23">
        <v>2038.68663151134</v>
      </c>
      <c r="Y23">
        <v>4467.88106799452</v>
      </c>
      <c r="Z23">
        <v>19296.612788784401</v>
      </c>
      <c r="AC23">
        <v>96249.760256112</v>
      </c>
      <c r="AD23">
        <v>621744.35175477597</v>
      </c>
      <c r="AE23">
        <v>463715.251184883</v>
      </c>
      <c r="AF23">
        <v>156985.03923434499</v>
      </c>
      <c r="AG23">
        <v>14815.690596869001</v>
      </c>
      <c r="AH23">
        <v>154965.26947800399</v>
      </c>
      <c r="AI23">
        <v>37595.672203515998</v>
      </c>
      <c r="AJ23">
        <v>102871.15192527699</v>
      </c>
      <c r="AK23">
        <v>159732.256050255</v>
      </c>
      <c r="AL23">
        <v>88722.370569599094</v>
      </c>
      <c r="AM23">
        <v>58400.322956704702</v>
      </c>
      <c r="AN23">
        <v>12620.684587739999</v>
      </c>
      <c r="AO23">
        <v>1299929.8155101901</v>
      </c>
      <c r="AP23">
        <v>31929.098489914399</v>
      </c>
      <c r="AQ23">
        <v>85971.237316215498</v>
      </c>
      <c r="AR23">
        <v>1418536.6840953201</v>
      </c>
      <c r="AS23">
        <v>1053163.2073701399</v>
      </c>
    </row>
    <row r="24" spans="1:45" x14ac:dyDescent="0.25">
      <c r="A24" s="1">
        <f t="shared" si="0"/>
        <v>38687</v>
      </c>
      <c r="B24" s="6">
        <v>127915.089081522</v>
      </c>
      <c r="C24" s="6">
        <v>-28217.790308152998</v>
      </c>
      <c r="D24" s="6">
        <v>362230.96638574702</v>
      </c>
      <c r="E24" s="6"/>
      <c r="F24" s="6"/>
      <c r="G24" s="6"/>
      <c r="H24" s="6">
        <v>359548.98108575499</v>
      </c>
      <c r="I24" s="6">
        <v>2480.4683922580002</v>
      </c>
      <c r="J24" s="6">
        <v>98783.096142687398</v>
      </c>
      <c r="K24" s="6">
        <v>75832.035037652793</v>
      </c>
      <c r="L24" s="6">
        <v>47622.341988131302</v>
      </c>
      <c r="M24" s="6">
        <v>28663.258699724902</v>
      </c>
      <c r="N24">
        <v>11521.8491016228</v>
      </c>
      <c r="O24">
        <v>1175.6368209043001</v>
      </c>
      <c r="P24">
        <v>4033.8866281830401</v>
      </c>
      <c r="Q24">
        <v>25638.495562559401</v>
      </c>
      <c r="R24">
        <v>6120.6189142909698</v>
      </c>
      <c r="S24">
        <v>9582.3026958617502</v>
      </c>
      <c r="T24">
        <v>3940.11665245514</v>
      </c>
      <c r="U24">
        <v>2800.3815660999899</v>
      </c>
      <c r="V24">
        <v>128.939414532303</v>
      </c>
      <c r="W24">
        <v>1588.9474983181101</v>
      </c>
      <c r="X24">
        <v>2011.4158888327199</v>
      </c>
      <c r="Y24">
        <v>4505.7922118767801</v>
      </c>
      <c r="Z24">
        <v>19281.821836281499</v>
      </c>
      <c r="AC24">
        <v>102422.37193809199</v>
      </c>
      <c r="AD24">
        <v>630626.35371358704</v>
      </c>
      <c r="AE24">
        <v>469766.73788471898</v>
      </c>
      <c r="AF24">
        <v>157816.977215594</v>
      </c>
      <c r="AG24">
        <v>16597.787503310399</v>
      </c>
      <c r="AH24">
        <v>157623.614513045</v>
      </c>
      <c r="AI24">
        <v>38985.052261770303</v>
      </c>
      <c r="AJ24">
        <v>103947.890882348</v>
      </c>
      <c r="AK24">
        <v>162422.21395836599</v>
      </c>
      <c r="AL24">
        <v>90414.494210037199</v>
      </c>
      <c r="AM24">
        <v>59236.486714952902</v>
      </c>
      <c r="AN24">
        <v>12751.1369802479</v>
      </c>
      <c r="AO24">
        <v>1323187.04361812</v>
      </c>
      <c r="AP24">
        <v>27964.019023021199</v>
      </c>
      <c r="AQ24">
        <v>84845.437586381595</v>
      </c>
      <c r="AR24">
        <v>1436480.0565402801</v>
      </c>
      <c r="AS24">
        <v>1074227.5679246699</v>
      </c>
    </row>
    <row r="25" spans="1:45" x14ac:dyDescent="0.25">
      <c r="A25" s="1">
        <f t="shared" si="0"/>
        <v>38777</v>
      </c>
      <c r="B25" s="6">
        <v>130372.98460572799</v>
      </c>
      <c r="C25" s="6">
        <v>-29548.421435812499</v>
      </c>
      <c r="D25" s="6">
        <v>344353.194543936</v>
      </c>
      <c r="E25" s="6"/>
      <c r="F25" s="6"/>
      <c r="G25" s="6"/>
      <c r="H25" s="6">
        <v>341795.970735949</v>
      </c>
      <c r="I25" s="6">
        <v>2480.0407866160699</v>
      </c>
      <c r="J25" s="6">
        <v>96939.968345712303</v>
      </c>
      <c r="K25" s="6">
        <v>75775.367367485</v>
      </c>
      <c r="L25" s="6">
        <v>47379.9108050332</v>
      </c>
      <c r="M25" s="6">
        <v>28666.268353716801</v>
      </c>
      <c r="N25">
        <v>11478.8674894216</v>
      </c>
      <c r="O25">
        <v>1184.31081213673</v>
      </c>
      <c r="P25">
        <v>4082.61109788054</v>
      </c>
      <c r="Q25">
        <v>23846.187780681801</v>
      </c>
      <c r="R25">
        <v>6352.95880622198</v>
      </c>
      <c r="S25">
        <v>9161.9235645362005</v>
      </c>
      <c r="T25">
        <v>3668.5467412821299</v>
      </c>
      <c r="U25">
        <v>2775.5364708976699</v>
      </c>
      <c r="V25">
        <v>133.58494410648299</v>
      </c>
      <c r="W25">
        <v>1633.5095666785801</v>
      </c>
      <c r="X25">
        <v>2072.9082549356699</v>
      </c>
      <c r="Y25">
        <v>4501.6778056575304</v>
      </c>
      <c r="Z25">
        <v>19928.2026298249</v>
      </c>
      <c r="AC25">
        <v>105465.362971143</v>
      </c>
      <c r="AD25">
        <v>639233.13469006703</v>
      </c>
      <c r="AE25">
        <v>474708.03503768501</v>
      </c>
      <c r="AF25">
        <v>160348.39559717799</v>
      </c>
      <c r="AG25">
        <v>14895.9465316469</v>
      </c>
      <c r="AH25">
        <v>158986.70021490901</v>
      </c>
      <c r="AI25">
        <v>40518.895139260101</v>
      </c>
      <c r="AJ25">
        <v>104728.254316366</v>
      </c>
      <c r="AK25">
        <v>165978.12095542101</v>
      </c>
      <c r="AL25">
        <v>92726.243145112807</v>
      </c>
      <c r="AM25">
        <v>60331.508959831997</v>
      </c>
      <c r="AN25">
        <v>12903.9336862741</v>
      </c>
      <c r="AO25">
        <v>1313562.3346644801</v>
      </c>
      <c r="AP25">
        <v>25165.647223357199</v>
      </c>
      <c r="AQ25">
        <v>85440.328966544505</v>
      </c>
      <c r="AR25">
        <v>1427458.5511820801</v>
      </c>
      <c r="AS25">
        <v>1082268.5972432799</v>
      </c>
    </row>
    <row r="26" spans="1:45" x14ac:dyDescent="0.25">
      <c r="A26" s="1">
        <f t="shared" si="0"/>
        <v>38869</v>
      </c>
      <c r="B26" s="6">
        <v>132580.39371790801</v>
      </c>
      <c r="C26" s="6">
        <v>-30806.769214890799</v>
      </c>
      <c r="D26" s="6">
        <v>351672.342685893</v>
      </c>
      <c r="E26" s="6"/>
      <c r="F26" s="6"/>
      <c r="G26" s="6"/>
      <c r="H26" s="6">
        <v>349049.90787853301</v>
      </c>
      <c r="I26" s="6">
        <v>2491.4614661349701</v>
      </c>
      <c r="J26" s="6">
        <v>97906.175459239297</v>
      </c>
      <c r="K26" s="6">
        <v>76052.786177750095</v>
      </c>
      <c r="L26" s="6">
        <v>47634.9595500781</v>
      </c>
      <c r="M26" s="6">
        <v>28727.530171157701</v>
      </c>
      <c r="N26">
        <v>11562.9099981822</v>
      </c>
      <c r="O26">
        <v>1168.5021133323701</v>
      </c>
      <c r="P26">
        <v>4097.8333361996902</v>
      </c>
      <c r="Q26">
        <v>23687.8315817699</v>
      </c>
      <c r="R26">
        <v>6506.35306609281</v>
      </c>
      <c r="S26">
        <v>8961.7378155446004</v>
      </c>
      <c r="T26">
        <v>3468.09761560582</v>
      </c>
      <c r="U26">
        <v>2862.1798059294701</v>
      </c>
      <c r="V26">
        <v>136.24470889885399</v>
      </c>
      <c r="W26">
        <v>1737.68509218603</v>
      </c>
      <c r="X26">
        <v>2112.8672904864202</v>
      </c>
      <c r="Y26">
        <v>4523.4660098104796</v>
      </c>
      <c r="Z26">
        <v>19569.997252476602</v>
      </c>
      <c r="AC26">
        <v>112092.868532077</v>
      </c>
      <c r="AD26">
        <v>648915.49648006901</v>
      </c>
      <c r="AE26">
        <v>481635.30055704399</v>
      </c>
      <c r="AF26">
        <v>163379.375839791</v>
      </c>
      <c r="AG26">
        <v>14705.7476660989</v>
      </c>
      <c r="AH26">
        <v>161366.14706370901</v>
      </c>
      <c r="AI26">
        <v>42068.7762681026</v>
      </c>
      <c r="AJ26">
        <v>105585.18433531201</v>
      </c>
      <c r="AK26">
        <v>168980.89937305701</v>
      </c>
      <c r="AL26">
        <v>94639.870539578595</v>
      </c>
      <c r="AM26">
        <v>61240.136651009801</v>
      </c>
      <c r="AN26">
        <v>13056.9861298417</v>
      </c>
      <c r="AO26">
        <v>1338234.65286672</v>
      </c>
      <c r="AP26">
        <v>31183.571611421699</v>
      </c>
      <c r="AQ26">
        <v>87446.610332226395</v>
      </c>
      <c r="AR26">
        <v>1457988.6580346001</v>
      </c>
      <c r="AS26">
        <v>1106154.84210517</v>
      </c>
    </row>
    <row r="27" spans="1:45" x14ac:dyDescent="0.25">
      <c r="A27" s="1">
        <f t="shared" si="0"/>
        <v>38961</v>
      </c>
      <c r="B27" s="6">
        <v>135588.992415733</v>
      </c>
      <c r="C27" s="6">
        <v>-31851.552101558002</v>
      </c>
      <c r="D27" s="6">
        <v>339376.80780010199</v>
      </c>
      <c r="E27" s="6"/>
      <c r="F27" s="6"/>
      <c r="G27" s="6"/>
      <c r="H27" s="6">
        <v>336785.54930936202</v>
      </c>
      <c r="I27" s="6">
        <v>2546.29701306777</v>
      </c>
      <c r="J27" s="6">
        <v>103424.863339601</v>
      </c>
      <c r="K27" s="6">
        <v>77631.932133133494</v>
      </c>
      <c r="L27" s="6">
        <v>48864.557209830302</v>
      </c>
      <c r="M27" s="6">
        <v>29053.6590951494</v>
      </c>
      <c r="N27">
        <v>11803.1187580774</v>
      </c>
      <c r="O27">
        <v>1145.19679614705</v>
      </c>
      <c r="P27">
        <v>4157.41296338539</v>
      </c>
      <c r="Q27">
        <v>26660.4764017899</v>
      </c>
      <c r="R27">
        <v>6583.4215799252897</v>
      </c>
      <c r="S27">
        <v>9432.6142608805803</v>
      </c>
      <c r="T27">
        <v>3346.3591005856802</v>
      </c>
      <c r="U27">
        <v>3012.9790367288101</v>
      </c>
      <c r="V27">
        <v>136.60693444736</v>
      </c>
      <c r="W27">
        <v>1776.5177293571201</v>
      </c>
      <c r="X27">
        <v>2138.2364219144401</v>
      </c>
      <c r="Y27">
        <v>4766.9555118967801</v>
      </c>
      <c r="Z27">
        <v>19756.561845944201</v>
      </c>
      <c r="AC27">
        <v>116179.794009281</v>
      </c>
      <c r="AD27">
        <v>657674.18448532396</v>
      </c>
      <c r="AE27">
        <v>489401.75980344001</v>
      </c>
      <c r="AF27">
        <v>166366.86503233801</v>
      </c>
      <c r="AG27">
        <v>16137.134885024499</v>
      </c>
      <c r="AH27">
        <v>164096.47372348199</v>
      </c>
      <c r="AI27">
        <v>43371.838450255098</v>
      </c>
      <c r="AJ27">
        <v>106364.202787916</v>
      </c>
      <c r="AK27">
        <v>170115.45461327399</v>
      </c>
      <c r="AL27">
        <v>95234.160054310094</v>
      </c>
      <c r="AM27">
        <v>61681.719260075697</v>
      </c>
      <c r="AN27">
        <v>13201.6628837719</v>
      </c>
      <c r="AO27">
        <v>1344417.5795763501</v>
      </c>
      <c r="AP27">
        <v>27657.466520769402</v>
      </c>
      <c r="AQ27">
        <v>88138.832996707104</v>
      </c>
      <c r="AR27">
        <v>1461319.4314928399</v>
      </c>
      <c r="AS27">
        <v>1133240.54422412</v>
      </c>
    </row>
    <row r="28" spans="1:45" x14ac:dyDescent="0.25">
      <c r="A28" s="1">
        <f t="shared" si="0"/>
        <v>39052</v>
      </c>
      <c r="B28" s="6">
        <v>134039.340941223</v>
      </c>
      <c r="C28" s="6">
        <v>-32637.516930373698</v>
      </c>
      <c r="D28" s="6">
        <v>355408.97508765099</v>
      </c>
      <c r="E28" s="6"/>
      <c r="F28" s="6"/>
      <c r="G28" s="6"/>
      <c r="H28" s="6">
        <v>352740.14329859702</v>
      </c>
      <c r="I28" s="6">
        <v>2493.87588122632</v>
      </c>
      <c r="J28" s="6">
        <v>103284.56755265201</v>
      </c>
      <c r="K28" s="6">
        <v>79019.699193679699</v>
      </c>
      <c r="L28" s="6">
        <v>49928.894855005601</v>
      </c>
      <c r="M28" s="6">
        <v>29443.409312157801</v>
      </c>
      <c r="N28">
        <v>12155.8301188635</v>
      </c>
      <c r="O28">
        <v>1144.7538911624799</v>
      </c>
      <c r="P28">
        <v>4246.7779677397702</v>
      </c>
      <c r="Q28">
        <v>25284.724662635199</v>
      </c>
      <c r="R28">
        <v>6592.8890225114601</v>
      </c>
      <c r="S28">
        <v>9973.2782137365994</v>
      </c>
      <c r="T28">
        <v>3351.4203114403799</v>
      </c>
      <c r="U28">
        <v>3188.9183649546198</v>
      </c>
      <c r="V28">
        <v>134.85445483379499</v>
      </c>
      <c r="W28">
        <v>1604.7451774414899</v>
      </c>
      <c r="X28">
        <v>2056.8301311405598</v>
      </c>
      <c r="Y28">
        <v>4977.4853568741601</v>
      </c>
      <c r="Z28">
        <v>20013.862051386299</v>
      </c>
      <c r="AC28">
        <v>119759.591141629</v>
      </c>
      <c r="AD28">
        <v>667045.21573811304</v>
      </c>
      <c r="AE28">
        <v>495780.43165015703</v>
      </c>
      <c r="AF28">
        <v>169585.885330074</v>
      </c>
      <c r="AG28">
        <v>16767.2454893584</v>
      </c>
      <c r="AH28">
        <v>166282.274373477</v>
      </c>
      <c r="AI28">
        <v>44315.110419751203</v>
      </c>
      <c r="AJ28">
        <v>107378.31658134999</v>
      </c>
      <c r="AK28">
        <v>172658.01600029899</v>
      </c>
      <c r="AL28">
        <v>96862.662205966204</v>
      </c>
      <c r="AM28">
        <v>62403.488672142703</v>
      </c>
      <c r="AN28">
        <v>13356.027984066501</v>
      </c>
      <c r="AO28">
        <v>1372054.0238950599</v>
      </c>
      <c r="AP28">
        <v>27638.6696905024</v>
      </c>
      <c r="AQ28">
        <v>90020.681867270803</v>
      </c>
      <c r="AR28">
        <v>1491718.3438625501</v>
      </c>
      <c r="AS28">
        <v>1147521.9340605999</v>
      </c>
    </row>
    <row r="29" spans="1:45" x14ac:dyDescent="0.25">
      <c r="A29" s="1">
        <f t="shared" si="0"/>
        <v>39142</v>
      </c>
      <c r="B29" s="6">
        <v>137649.649488114</v>
      </c>
      <c r="C29" s="6">
        <v>-33142.7525513113</v>
      </c>
      <c r="D29" s="6">
        <v>339354.820930644</v>
      </c>
      <c r="E29" s="6"/>
      <c r="F29" s="6"/>
      <c r="G29" s="6"/>
      <c r="H29" s="6">
        <v>336841.88460086402</v>
      </c>
      <c r="I29" s="6">
        <v>2523.580426514</v>
      </c>
      <c r="J29" s="6">
        <v>103253.740079829</v>
      </c>
      <c r="K29" s="6">
        <v>79840.7122193947</v>
      </c>
      <c r="L29" s="6">
        <v>50095.398759965101</v>
      </c>
      <c r="M29" s="6">
        <v>30006.074017040301</v>
      </c>
      <c r="N29">
        <v>11960.061217730399</v>
      </c>
      <c r="O29">
        <v>1140.9187663610001</v>
      </c>
      <c r="P29">
        <v>4294.3399144067698</v>
      </c>
      <c r="Q29">
        <v>25713.073184972902</v>
      </c>
      <c r="R29">
        <v>6504.7152364085696</v>
      </c>
      <c r="S29">
        <v>10021.368183711</v>
      </c>
      <c r="T29">
        <v>3408.95225861573</v>
      </c>
      <c r="U29">
        <v>3268.8919971222099</v>
      </c>
      <c r="V29">
        <v>137.78573356250001</v>
      </c>
      <c r="W29">
        <v>1741.0191154383899</v>
      </c>
      <c r="X29">
        <v>2179.74408965456</v>
      </c>
      <c r="Y29">
        <v>4984.7561117158402</v>
      </c>
      <c r="Z29">
        <v>20289.030495422401</v>
      </c>
      <c r="AC29">
        <v>125666.040703419</v>
      </c>
      <c r="AD29">
        <v>672099.33352595696</v>
      </c>
      <c r="AE29">
        <v>501366.62067492999</v>
      </c>
      <c r="AF29">
        <v>172337.01074078601</v>
      </c>
      <c r="AG29">
        <v>15470.3065439444</v>
      </c>
      <c r="AH29">
        <v>167842.70375433</v>
      </c>
      <c r="AI29">
        <v>44955.544359494699</v>
      </c>
      <c r="AJ29">
        <v>108214.02198530499</v>
      </c>
      <c r="AK29">
        <v>172422.35248814401</v>
      </c>
      <c r="AL29">
        <v>96509.7122459409</v>
      </c>
      <c r="AM29">
        <v>62457.372835131799</v>
      </c>
      <c r="AN29">
        <v>13455.903990638501</v>
      </c>
      <c r="AO29">
        <v>1366454.47561747</v>
      </c>
      <c r="AP29">
        <v>30893.486013209498</v>
      </c>
      <c r="AQ29">
        <v>90725.374970362303</v>
      </c>
      <c r="AR29">
        <v>1489359.24396981</v>
      </c>
      <c r="AS29">
        <v>1162083.0296918401</v>
      </c>
    </row>
    <row r="30" spans="1:45" x14ac:dyDescent="0.25">
      <c r="A30" s="1">
        <f t="shared" si="0"/>
        <v>39234</v>
      </c>
      <c r="B30" s="6">
        <v>137375.663975943</v>
      </c>
      <c r="C30" s="6">
        <v>-33675.110769259998</v>
      </c>
      <c r="D30" s="6">
        <v>350643.11777003697</v>
      </c>
      <c r="E30" s="6"/>
      <c r="F30" s="6"/>
      <c r="G30" s="6"/>
      <c r="H30" s="6">
        <v>348058.61533606303</v>
      </c>
      <c r="I30" s="6">
        <v>2521.7098894865699</v>
      </c>
      <c r="J30" s="6">
        <v>101182.44446311001</v>
      </c>
      <c r="K30" s="6">
        <v>81167.4867420995</v>
      </c>
      <c r="L30" s="6">
        <v>50980.791693294399</v>
      </c>
      <c r="M30" s="6">
        <v>30514.379878027801</v>
      </c>
      <c r="N30">
        <v>12093.703741559601</v>
      </c>
      <c r="O30">
        <v>1173.0901401210799</v>
      </c>
      <c r="P30">
        <v>4325.1132534133703</v>
      </c>
      <c r="Q30">
        <v>23755.342550904399</v>
      </c>
      <c r="R30">
        <v>6480.6051816785503</v>
      </c>
      <c r="S30">
        <v>10377.312746346999</v>
      </c>
      <c r="T30">
        <v>3454.5219352649401</v>
      </c>
      <c r="U30">
        <v>3322.97574844984</v>
      </c>
      <c r="V30">
        <v>143.146056271242</v>
      </c>
      <c r="W30">
        <v>1827.36398679998</v>
      </c>
      <c r="X30">
        <v>2235.9528023201301</v>
      </c>
      <c r="Y30">
        <v>5036.18555766395</v>
      </c>
      <c r="Z30">
        <v>20531.381987493402</v>
      </c>
      <c r="AC30">
        <v>122047.337787531</v>
      </c>
      <c r="AD30">
        <v>679443.33903742197</v>
      </c>
      <c r="AE30">
        <v>508650.75442700501</v>
      </c>
      <c r="AF30">
        <v>176083.679410168</v>
      </c>
      <c r="AG30">
        <v>14984.8278746133</v>
      </c>
      <c r="AH30">
        <v>169988.59450155901</v>
      </c>
      <c r="AI30">
        <v>45694.290388883601</v>
      </c>
      <c r="AJ30">
        <v>109465.025790721</v>
      </c>
      <c r="AK30">
        <v>172783.67031491699</v>
      </c>
      <c r="AL30">
        <v>96509.941793672595</v>
      </c>
      <c r="AM30">
        <v>62664.1118828279</v>
      </c>
      <c r="AN30">
        <v>13601.5429851094</v>
      </c>
      <c r="AO30">
        <v>1378767.9068229401</v>
      </c>
      <c r="AP30">
        <v>29034.435509928298</v>
      </c>
      <c r="AQ30">
        <v>90792.556329305298</v>
      </c>
      <c r="AR30">
        <v>1499909.8036340701</v>
      </c>
      <c r="AS30">
        <v>1158296.5988408001</v>
      </c>
    </row>
    <row r="31" spans="1:45" x14ac:dyDescent="0.25">
      <c r="A31" s="1">
        <f t="shared" si="0"/>
        <v>39326</v>
      </c>
      <c r="B31" s="6">
        <v>135890.338048529</v>
      </c>
      <c r="C31" s="6">
        <v>-34109.539223951098</v>
      </c>
      <c r="D31" s="6">
        <v>352593.51640208502</v>
      </c>
      <c r="E31" s="6"/>
      <c r="F31" s="6"/>
      <c r="G31" s="6"/>
      <c r="H31" s="6">
        <v>349889.19688004802</v>
      </c>
      <c r="I31" s="6">
        <v>2532.0753023604698</v>
      </c>
      <c r="J31" s="6">
        <v>105220.107164239</v>
      </c>
      <c r="K31" s="6">
        <v>82504.623265011003</v>
      </c>
      <c r="L31" s="6">
        <v>51506.336208325301</v>
      </c>
      <c r="M31" s="6">
        <v>31379.196351910701</v>
      </c>
      <c r="N31">
        <v>12343.2870821788</v>
      </c>
      <c r="O31">
        <v>1205.42018017958</v>
      </c>
      <c r="P31">
        <v>4399.1174577607799</v>
      </c>
      <c r="Q31">
        <v>25770.643874546498</v>
      </c>
      <c r="R31">
        <v>6524.1086881009696</v>
      </c>
      <c r="S31">
        <v>10029.298329306001</v>
      </c>
      <c r="T31">
        <v>3520.6982144979502</v>
      </c>
      <c r="U31">
        <v>3493.7013075791401</v>
      </c>
      <c r="V31">
        <v>152.138439649991</v>
      </c>
      <c r="W31">
        <v>1916.85443949101</v>
      </c>
      <c r="X31">
        <v>2275.2843889403898</v>
      </c>
      <c r="Y31">
        <v>5033.4109097151104</v>
      </c>
      <c r="Z31">
        <v>20809.366409003898</v>
      </c>
      <c r="AC31">
        <v>124111.46175477</v>
      </c>
      <c r="AD31">
        <v>689485.103789569</v>
      </c>
      <c r="AE31">
        <v>518185.911610757</v>
      </c>
      <c r="AF31">
        <v>181534.51666846799</v>
      </c>
      <c r="AG31">
        <v>16851.6764925444</v>
      </c>
      <c r="AH31">
        <v>171125.601973201</v>
      </c>
      <c r="AI31">
        <v>46446.692813394802</v>
      </c>
      <c r="AJ31">
        <v>111031.436596605</v>
      </c>
      <c r="AK31">
        <v>173401.32608050201</v>
      </c>
      <c r="AL31">
        <v>96702.282819242799</v>
      </c>
      <c r="AM31">
        <v>62927.128362551899</v>
      </c>
      <c r="AN31">
        <v>13795.8833728069</v>
      </c>
      <c r="AO31">
        <v>1392580.0528482599</v>
      </c>
      <c r="AP31">
        <v>29837.2434311578</v>
      </c>
      <c r="AQ31">
        <v>92689.512176127697</v>
      </c>
      <c r="AR31">
        <v>1515464.0145022799</v>
      </c>
      <c r="AS31">
        <v>1175588.53679372</v>
      </c>
    </row>
    <row r="32" spans="1:45" x14ac:dyDescent="0.25">
      <c r="A32" s="1">
        <f t="shared" si="0"/>
        <v>39417</v>
      </c>
      <c r="B32" s="6">
        <v>132902.779801653</v>
      </c>
      <c r="C32" s="6">
        <v>-34613.511149081998</v>
      </c>
      <c r="D32" s="6">
        <v>341800.36428932799</v>
      </c>
      <c r="E32" s="6"/>
      <c r="F32" s="6"/>
      <c r="G32" s="6"/>
      <c r="H32" s="6">
        <v>339194.92581432802</v>
      </c>
      <c r="I32" s="6">
        <v>2524.5540971012001</v>
      </c>
      <c r="J32" s="6">
        <v>112471.97583537801</v>
      </c>
      <c r="K32" s="6">
        <v>83496.237322941102</v>
      </c>
      <c r="L32" s="6">
        <v>51865.198799156198</v>
      </c>
      <c r="M32" s="6">
        <v>32139.616158968998</v>
      </c>
      <c r="N32">
        <v>12889.182943968801</v>
      </c>
      <c r="O32">
        <v>1266.92430628541</v>
      </c>
      <c r="P32">
        <v>4469.6224305511196</v>
      </c>
      <c r="Q32">
        <v>28517.367032823298</v>
      </c>
      <c r="R32">
        <v>6626.0599664124102</v>
      </c>
      <c r="S32">
        <v>9933.6727793479404</v>
      </c>
      <c r="T32">
        <v>3527.7439963492102</v>
      </c>
      <c r="U32">
        <v>3454.1875156804299</v>
      </c>
      <c r="V32">
        <v>151.582292080233</v>
      </c>
      <c r="W32">
        <v>2098.2069296325999</v>
      </c>
      <c r="X32">
        <v>2339.0089241363398</v>
      </c>
      <c r="Y32">
        <v>4675.4963708182104</v>
      </c>
      <c r="Z32">
        <v>21688.508013680599</v>
      </c>
      <c r="AC32">
        <v>121379.61481792299</v>
      </c>
      <c r="AD32">
        <v>700823.24444063799</v>
      </c>
      <c r="AE32">
        <v>528546.447157135</v>
      </c>
      <c r="AF32">
        <v>184726.24207148401</v>
      </c>
      <c r="AG32">
        <v>18037.915158675201</v>
      </c>
      <c r="AH32">
        <v>174939.034868983</v>
      </c>
      <c r="AI32">
        <v>47403.866397572303</v>
      </c>
      <c r="AJ32">
        <v>112878.067553339</v>
      </c>
      <c r="AK32">
        <v>174868.34367042099</v>
      </c>
      <c r="AL32">
        <v>97444.470910900796</v>
      </c>
      <c r="AM32">
        <v>63446.718648257498</v>
      </c>
      <c r="AN32">
        <v>14019.4561924517</v>
      </c>
      <c r="AO32">
        <v>1394475.26613166</v>
      </c>
      <c r="AP32">
        <v>27840.9070215799</v>
      </c>
      <c r="AQ32">
        <v>93077.022905965307</v>
      </c>
      <c r="AR32">
        <v>1517891.5176985699</v>
      </c>
      <c r="AS32">
        <v>1198470.3940609701</v>
      </c>
    </row>
    <row r="33" spans="1:45" x14ac:dyDescent="0.25">
      <c r="A33" s="1">
        <f t="shared" si="0"/>
        <v>39508</v>
      </c>
      <c r="B33" s="6">
        <v>128046.187787733</v>
      </c>
      <c r="C33" s="6">
        <v>-35078.171468707304</v>
      </c>
      <c r="D33" s="6">
        <v>345444.07092310599</v>
      </c>
      <c r="E33" s="6"/>
      <c r="F33" s="6"/>
      <c r="G33" s="6"/>
      <c r="H33" s="6">
        <v>342901.16644022701</v>
      </c>
      <c r="I33" s="6">
        <v>2530.0498184756998</v>
      </c>
      <c r="J33" s="6">
        <v>114420.360979223</v>
      </c>
      <c r="K33" s="6">
        <v>85034.061788522595</v>
      </c>
      <c r="L33" s="6">
        <v>53380.129784912097</v>
      </c>
      <c r="M33" s="6">
        <v>31934.728935163799</v>
      </c>
      <c r="N33">
        <v>13372.1812559798</v>
      </c>
      <c r="O33">
        <v>1332.2008903092101</v>
      </c>
      <c r="P33">
        <v>4517.1196082899696</v>
      </c>
      <c r="Q33">
        <v>30015.944037335001</v>
      </c>
      <c r="R33">
        <v>6776.8905647414504</v>
      </c>
      <c r="S33">
        <v>10390.759224904299</v>
      </c>
      <c r="T33">
        <v>3569.6486505508901</v>
      </c>
      <c r="U33">
        <v>3655.51008763767</v>
      </c>
      <c r="V33">
        <v>148.56197466507501</v>
      </c>
      <c r="W33">
        <v>2150.64153687815</v>
      </c>
      <c r="X33">
        <v>2339.1311896677698</v>
      </c>
      <c r="Y33">
        <v>4604.9467148793801</v>
      </c>
      <c r="Z33">
        <v>21664.058010254601</v>
      </c>
      <c r="AC33">
        <v>110118.548447118</v>
      </c>
      <c r="AD33">
        <v>709874.85329311795</v>
      </c>
      <c r="AE33">
        <v>535606.97141679504</v>
      </c>
      <c r="AF33">
        <v>189517.669494601</v>
      </c>
      <c r="AG33">
        <v>17382.058578012799</v>
      </c>
      <c r="AH33">
        <v>174982.282591355</v>
      </c>
      <c r="AI33">
        <v>48379.342544258303</v>
      </c>
      <c r="AJ33">
        <v>115043.65721719</v>
      </c>
      <c r="AK33">
        <v>176139.07446188101</v>
      </c>
      <c r="AL33">
        <v>97968.676038817299</v>
      </c>
      <c r="AM33">
        <v>63947.578322389003</v>
      </c>
      <c r="AN33">
        <v>14243.648756521099</v>
      </c>
      <c r="AO33">
        <v>1399277.8388890601</v>
      </c>
      <c r="AP33">
        <v>30794.505974940399</v>
      </c>
      <c r="AQ33">
        <v>93239.219008471293</v>
      </c>
      <c r="AR33">
        <v>1523679.04137497</v>
      </c>
      <c r="AS33">
        <v>1190633.5420291999</v>
      </c>
    </row>
    <row r="34" spans="1:45" x14ac:dyDescent="0.25">
      <c r="A34" s="1">
        <f t="shared" si="0"/>
        <v>39600</v>
      </c>
      <c r="B34" s="6">
        <v>127218.92117494599</v>
      </c>
      <c r="C34" s="6">
        <v>-35475.077497141101</v>
      </c>
      <c r="D34" s="6">
        <v>335021.75416384003</v>
      </c>
      <c r="E34" s="6"/>
      <c r="F34" s="6"/>
      <c r="G34" s="6"/>
      <c r="H34" s="6">
        <v>332212.82357514597</v>
      </c>
      <c r="I34" s="6">
        <v>2600.0222001727002</v>
      </c>
      <c r="J34" s="6">
        <v>116327.158161131</v>
      </c>
      <c r="K34" s="6">
        <v>86405.413094274802</v>
      </c>
      <c r="L34" s="6">
        <v>54039.771065139801</v>
      </c>
      <c r="M34" s="6">
        <v>32769.260305827898</v>
      </c>
      <c r="N34">
        <v>13836.951068251799</v>
      </c>
      <c r="O34">
        <v>1404.30130005003</v>
      </c>
      <c r="P34">
        <v>4570.5590874446098</v>
      </c>
      <c r="Q34">
        <v>29771.545918239299</v>
      </c>
      <c r="R34">
        <v>6948.3265519943798</v>
      </c>
      <c r="S34">
        <v>10502.4742790277</v>
      </c>
      <c r="T34">
        <v>3593.0855567308899</v>
      </c>
      <c r="U34">
        <v>3758.7310460149502</v>
      </c>
      <c r="V34">
        <v>143.132506075083</v>
      </c>
      <c r="W34">
        <v>2010.4925500050099</v>
      </c>
      <c r="X34">
        <v>2266.4265643630802</v>
      </c>
      <c r="Y34">
        <v>4483.6457092664696</v>
      </c>
      <c r="Z34">
        <v>22312.938025445601</v>
      </c>
      <c r="AC34">
        <v>125411.088150554</v>
      </c>
      <c r="AD34">
        <v>722325.63113318605</v>
      </c>
      <c r="AE34">
        <v>546457.39341763605</v>
      </c>
      <c r="AF34">
        <v>194890.61018017001</v>
      </c>
      <c r="AG34">
        <v>18604.515430180501</v>
      </c>
      <c r="AH34">
        <v>176694.410862424</v>
      </c>
      <c r="AI34">
        <v>49137.817813481401</v>
      </c>
      <c r="AJ34">
        <v>116990.200779223</v>
      </c>
      <c r="AK34">
        <v>178586.25352621399</v>
      </c>
      <c r="AL34">
        <v>99366.730484387503</v>
      </c>
      <c r="AM34">
        <v>64816.196320330797</v>
      </c>
      <c r="AN34">
        <v>14481.9578652812</v>
      </c>
      <c r="AO34">
        <v>1406787.77606969</v>
      </c>
      <c r="AP34">
        <v>32060.780759309298</v>
      </c>
      <c r="AQ34">
        <v>95948.988247147805</v>
      </c>
      <c r="AR34">
        <v>1534639.9107891601</v>
      </c>
      <c r="AS34">
        <v>1224202.8482989201</v>
      </c>
    </row>
    <row r="35" spans="1:45" x14ac:dyDescent="0.25">
      <c r="A35" s="1">
        <f t="shared" si="0"/>
        <v>39692</v>
      </c>
      <c r="B35" s="6">
        <v>130382.35938316501</v>
      </c>
      <c r="C35" s="6">
        <v>-36182.241125189699</v>
      </c>
      <c r="D35" s="6">
        <v>338369.66365919402</v>
      </c>
      <c r="E35" s="6"/>
      <c r="F35" s="6"/>
      <c r="G35" s="6"/>
      <c r="H35" s="6">
        <v>335773.30996060302</v>
      </c>
      <c r="I35" s="6">
        <v>2588.3608485565901</v>
      </c>
      <c r="J35" s="6">
        <v>117716.848497513</v>
      </c>
      <c r="K35" s="6">
        <v>87609.357638137502</v>
      </c>
      <c r="L35" s="6">
        <v>55179.581840733998</v>
      </c>
      <c r="M35" s="6">
        <v>32756.306386522199</v>
      </c>
      <c r="N35">
        <v>13961.056733714</v>
      </c>
      <c r="O35">
        <v>1444.7618990594499</v>
      </c>
      <c r="P35">
        <v>4608.5920718691405</v>
      </c>
      <c r="Q35">
        <v>30148.026083395998</v>
      </c>
      <c r="R35">
        <v>7137.7794665418896</v>
      </c>
      <c r="S35">
        <v>10935.106169749</v>
      </c>
      <c r="T35">
        <v>3616.0238192582801</v>
      </c>
      <c r="U35">
        <v>3773.6314217829499</v>
      </c>
      <c r="V35">
        <v>157.578730701567</v>
      </c>
      <c r="W35">
        <v>2201.3878474286298</v>
      </c>
      <c r="X35">
        <v>2378.44665852654</v>
      </c>
      <c r="Y35">
        <v>4427.20989954569</v>
      </c>
      <c r="Z35">
        <v>22709.863583734401</v>
      </c>
      <c r="AC35">
        <v>134115.78606086801</v>
      </c>
      <c r="AD35">
        <v>735673.69273355999</v>
      </c>
      <c r="AE35">
        <v>556655.94537296903</v>
      </c>
      <c r="AF35">
        <v>200486.92872166901</v>
      </c>
      <c r="AG35">
        <v>19807.797755324402</v>
      </c>
      <c r="AH35">
        <v>178125.26601430899</v>
      </c>
      <c r="AI35">
        <v>50110.641749886498</v>
      </c>
      <c r="AJ35">
        <v>118458.101536419</v>
      </c>
      <c r="AK35">
        <v>181902.62093682599</v>
      </c>
      <c r="AL35">
        <v>101307.201281898</v>
      </c>
      <c r="AM35">
        <v>65956.648276661304</v>
      </c>
      <c r="AN35">
        <v>14721.9976416269</v>
      </c>
      <c r="AO35">
        <v>1432952.7391077499</v>
      </c>
      <c r="AP35">
        <v>30802.584265828998</v>
      </c>
      <c r="AQ35">
        <v>96983.127318673607</v>
      </c>
      <c r="AR35">
        <v>1559887.2844058401</v>
      </c>
      <c r="AS35">
        <v>1251229.17481319</v>
      </c>
    </row>
    <row r="36" spans="1:45" x14ac:dyDescent="0.25">
      <c r="A36" s="1">
        <f t="shared" si="0"/>
        <v>39783</v>
      </c>
      <c r="B36" s="6">
        <v>139431.419567128</v>
      </c>
      <c r="C36" s="6">
        <v>-37161.428763410397</v>
      </c>
      <c r="D36" s="6">
        <v>311413.55358525802</v>
      </c>
      <c r="E36" s="6"/>
      <c r="F36" s="6"/>
      <c r="G36" s="6"/>
      <c r="H36" s="6">
        <v>309021.67814738798</v>
      </c>
      <c r="I36" s="6">
        <v>2609.56366953303</v>
      </c>
      <c r="J36" s="6">
        <v>112033.03583739301</v>
      </c>
      <c r="K36" s="6">
        <v>88763.1074589255</v>
      </c>
      <c r="L36" s="6">
        <v>56075.8665492242</v>
      </c>
      <c r="M36" s="6">
        <v>33055.7637708853</v>
      </c>
      <c r="N36">
        <v>14249.0795783701</v>
      </c>
      <c r="O36">
        <v>1438.4434947483901</v>
      </c>
      <c r="P36">
        <v>4682.6742404341103</v>
      </c>
      <c r="Q36">
        <v>26674.2030870257</v>
      </c>
      <c r="R36">
        <v>7341.3801663588702</v>
      </c>
      <c r="S36">
        <v>10780.1202717018</v>
      </c>
      <c r="T36">
        <v>3696.2134999436398</v>
      </c>
      <c r="U36">
        <v>3974.44268666478</v>
      </c>
      <c r="V36">
        <v>146.43257417331799</v>
      </c>
      <c r="W36">
        <v>2156.1543648399702</v>
      </c>
      <c r="X36">
        <v>2443.5545289341899</v>
      </c>
      <c r="Y36">
        <v>4730.9283085308998</v>
      </c>
      <c r="Z36">
        <v>22975.018833538299</v>
      </c>
      <c r="AC36">
        <v>152651.99838290401</v>
      </c>
      <c r="AD36">
        <v>747119.59166358295</v>
      </c>
      <c r="AE36">
        <v>564075.78102837305</v>
      </c>
      <c r="AF36">
        <v>206166.57484321701</v>
      </c>
      <c r="AG36">
        <v>19442.919407098801</v>
      </c>
      <c r="AH36">
        <v>179506.569261617</v>
      </c>
      <c r="AI36">
        <v>51237.084209020199</v>
      </c>
      <c r="AJ36">
        <v>119470.799732414</v>
      </c>
      <c r="AK36">
        <v>185682.79908883601</v>
      </c>
      <c r="AL36">
        <v>103477.838578479</v>
      </c>
      <c r="AM36">
        <v>67320.626368889003</v>
      </c>
      <c r="AN36">
        <v>14938.730758463</v>
      </c>
      <c r="AO36">
        <v>1421575.2639812999</v>
      </c>
      <c r="AP36">
        <v>32551.669787863899</v>
      </c>
      <c r="AQ36">
        <v>98225.227485646406</v>
      </c>
      <c r="AR36">
        <v>1552808.0088627399</v>
      </c>
      <c r="AS36">
        <v>1296987.95584022</v>
      </c>
    </row>
    <row r="37" spans="1:45" x14ac:dyDescent="0.25">
      <c r="A37" s="1">
        <f t="shared" si="0"/>
        <v>39873</v>
      </c>
      <c r="B37" s="6">
        <v>151166.365938228</v>
      </c>
      <c r="C37" s="6">
        <v>-38212.007002974999</v>
      </c>
      <c r="D37" s="6">
        <v>298540.89613036899</v>
      </c>
      <c r="E37" s="6"/>
      <c r="F37" s="6"/>
      <c r="G37" s="6"/>
      <c r="H37" s="6">
        <v>296008.17769650201</v>
      </c>
      <c r="I37" s="6">
        <v>2642.0632258371702</v>
      </c>
      <c r="J37" s="6">
        <v>111321.441709031</v>
      </c>
      <c r="K37" s="6">
        <v>89183.134115620298</v>
      </c>
      <c r="L37" s="6">
        <v>56059.473817752703</v>
      </c>
      <c r="M37" s="6">
        <v>33417.746195990403</v>
      </c>
      <c r="N37">
        <v>13895.924375668799</v>
      </c>
      <c r="O37">
        <v>1422.5151898357601</v>
      </c>
      <c r="P37">
        <v>4763.8327560489397</v>
      </c>
      <c r="Q37">
        <v>27057.615448179102</v>
      </c>
      <c r="R37">
        <v>7548.0839735746003</v>
      </c>
      <c r="S37">
        <v>11315.4215288212</v>
      </c>
      <c r="T37">
        <v>3666.0098054401301</v>
      </c>
      <c r="U37">
        <v>3644.08987031173</v>
      </c>
      <c r="V37">
        <v>144.230523453145</v>
      </c>
      <c r="W37">
        <v>2081.0625360354802</v>
      </c>
      <c r="X37">
        <v>2543.49027127612</v>
      </c>
      <c r="Y37">
        <v>4409.1115789771502</v>
      </c>
      <c r="Z37">
        <v>23592.860311240402</v>
      </c>
      <c r="AC37">
        <v>156842.741277541</v>
      </c>
      <c r="AD37">
        <v>759565.10940069903</v>
      </c>
      <c r="AE37">
        <v>572254.10626213695</v>
      </c>
      <c r="AF37">
        <v>212372.97234427999</v>
      </c>
      <c r="AG37">
        <v>19724.347434675801</v>
      </c>
      <c r="AH37">
        <v>181356.749207516</v>
      </c>
      <c r="AI37">
        <v>52301.479395266098</v>
      </c>
      <c r="AJ37">
        <v>119739.993186127</v>
      </c>
      <c r="AK37">
        <v>189347.548163069</v>
      </c>
      <c r="AL37">
        <v>105479.634676638</v>
      </c>
      <c r="AM37">
        <v>68760.993718589205</v>
      </c>
      <c r="AN37">
        <v>15091.210926591901</v>
      </c>
      <c r="AO37">
        <v>1425805.0621015499</v>
      </c>
      <c r="AP37">
        <v>33968.513457331603</v>
      </c>
      <c r="AQ37">
        <v>101849.028436519</v>
      </c>
      <c r="AR37">
        <v>1559137.3941544399</v>
      </c>
      <c r="AS37">
        <v>1327907.7570243501</v>
      </c>
    </row>
    <row r="38" spans="1:45" x14ac:dyDescent="0.25">
      <c r="A38" s="1">
        <f t="shared" si="0"/>
        <v>39965</v>
      </c>
      <c r="B38" s="6">
        <v>160783.150744368</v>
      </c>
      <c r="C38" s="6">
        <v>-39035.663166894199</v>
      </c>
      <c r="D38" s="6">
        <v>289747.10890326701</v>
      </c>
      <c r="E38" s="6"/>
      <c r="F38" s="6"/>
      <c r="G38" s="6"/>
      <c r="H38" s="6">
        <v>287313.69528614503</v>
      </c>
      <c r="I38" s="6">
        <v>2632.46305819487</v>
      </c>
      <c r="J38" s="6">
        <v>115480.552826053</v>
      </c>
      <c r="K38" s="6">
        <v>89389.696126706796</v>
      </c>
      <c r="L38" s="6">
        <v>56414.466614599703</v>
      </c>
      <c r="M38" s="6">
        <v>33319.228473611198</v>
      </c>
      <c r="N38">
        <v>13656.6743695525</v>
      </c>
      <c r="O38">
        <v>1408.85301275915</v>
      </c>
      <c r="P38">
        <v>4843.6627893880404</v>
      </c>
      <c r="Q38">
        <v>28639.730288601899</v>
      </c>
      <c r="R38">
        <v>7714.35603063505</v>
      </c>
      <c r="S38">
        <v>10963.7071140794</v>
      </c>
      <c r="T38">
        <v>3712.14273795181</v>
      </c>
      <c r="U38">
        <v>3818.05752244315</v>
      </c>
      <c r="V38">
        <v>141.767338553966</v>
      </c>
      <c r="W38">
        <v>2169.0327804728399</v>
      </c>
      <c r="X38">
        <v>2651.0595574189201</v>
      </c>
      <c r="Y38">
        <v>4696.7016953990496</v>
      </c>
      <c r="Z38">
        <v>24512.660947343102</v>
      </c>
      <c r="AC38">
        <v>146260.47858616401</v>
      </c>
      <c r="AD38">
        <v>770277.91232499201</v>
      </c>
      <c r="AE38">
        <v>580054.03229398502</v>
      </c>
      <c r="AF38">
        <v>217296.72003804299</v>
      </c>
      <c r="AG38">
        <v>19952.824100014499</v>
      </c>
      <c r="AH38">
        <v>182625.260376299</v>
      </c>
      <c r="AI38">
        <v>53227.900008466102</v>
      </c>
      <c r="AJ38">
        <v>120717.767304529</v>
      </c>
      <c r="AK38">
        <v>192522.981914631</v>
      </c>
      <c r="AL38">
        <v>107218.04520308301</v>
      </c>
      <c r="AM38">
        <v>69973.772873303096</v>
      </c>
      <c r="AN38">
        <v>15275.6680604907</v>
      </c>
      <c r="AO38">
        <v>1415130.8018221101</v>
      </c>
      <c r="AP38">
        <v>35028.331118588903</v>
      </c>
      <c r="AQ38">
        <v>102304.025456716</v>
      </c>
      <c r="AR38">
        <v>1549746.1899067101</v>
      </c>
      <c r="AS38">
        <v>1336076.73704631</v>
      </c>
    </row>
    <row r="39" spans="1:45" x14ac:dyDescent="0.25">
      <c r="A39" s="1">
        <f t="shared" si="0"/>
        <v>40057</v>
      </c>
      <c r="B39" s="6">
        <v>166396.226937128</v>
      </c>
      <c r="C39" s="6">
        <v>-39796.972348628697</v>
      </c>
      <c r="D39" s="6">
        <v>300546.20968749799</v>
      </c>
      <c r="E39" s="6"/>
      <c r="F39" s="6"/>
      <c r="G39" s="6"/>
      <c r="H39" s="6">
        <v>298263.05792735203</v>
      </c>
      <c r="I39" s="6">
        <v>2704.26164196846</v>
      </c>
      <c r="J39" s="6">
        <v>115892.17425923501</v>
      </c>
      <c r="K39" s="6">
        <v>91654.591366583394</v>
      </c>
      <c r="L39" s="6">
        <v>57846.6712393985</v>
      </c>
      <c r="M39" s="6">
        <v>34140.975143274802</v>
      </c>
      <c r="N39">
        <v>13841.712490800101</v>
      </c>
      <c r="O39">
        <v>1411.2298524248099</v>
      </c>
      <c r="P39">
        <v>4925.8810042503801</v>
      </c>
      <c r="Q39">
        <v>28130.271239630099</v>
      </c>
      <c r="R39">
        <v>7845.0163138629596</v>
      </c>
      <c r="S39">
        <v>11598.8992488965</v>
      </c>
      <c r="T39">
        <v>3771.6807982435698</v>
      </c>
      <c r="U39">
        <v>3948.5463445059199</v>
      </c>
      <c r="V39">
        <v>136.68192129994401</v>
      </c>
      <c r="W39">
        <v>2050.7810877621801</v>
      </c>
      <c r="X39">
        <v>2762.4248794666701</v>
      </c>
      <c r="Y39">
        <v>4889.7080099891</v>
      </c>
      <c r="Z39">
        <v>24786.744834377299</v>
      </c>
      <c r="AC39">
        <v>132238.687780387</v>
      </c>
      <c r="AD39">
        <v>780211.21243189299</v>
      </c>
      <c r="AE39">
        <v>586503.49380668905</v>
      </c>
      <c r="AF39">
        <v>220846.425073597</v>
      </c>
      <c r="AG39">
        <v>19567.330626367198</v>
      </c>
      <c r="AH39">
        <v>183780.090929069</v>
      </c>
      <c r="AI39">
        <v>54271.938199184202</v>
      </c>
      <c r="AJ39">
        <v>122006.433861704</v>
      </c>
      <c r="AK39">
        <v>195440.459881369</v>
      </c>
      <c r="AL39">
        <v>108915.65725709801</v>
      </c>
      <c r="AM39">
        <v>71058.779865568096</v>
      </c>
      <c r="AN39">
        <v>15403.8471133074</v>
      </c>
      <c r="AO39">
        <v>1428624.6869222999</v>
      </c>
      <c r="AP39">
        <v>33795.487553067702</v>
      </c>
      <c r="AQ39">
        <v>101562.81708059501</v>
      </c>
      <c r="AR39">
        <v>1562487.53921589</v>
      </c>
      <c r="AS39">
        <v>1330253.9010908401</v>
      </c>
    </row>
    <row r="40" spans="1:45" x14ac:dyDescent="0.25">
      <c r="A40" s="1">
        <f t="shared" si="0"/>
        <v>40148</v>
      </c>
      <c r="B40" s="6">
        <v>170146.518389323</v>
      </c>
      <c r="C40" s="6">
        <v>-40301.539895206297</v>
      </c>
      <c r="D40" s="6">
        <v>291984.85388552898</v>
      </c>
      <c r="E40" s="6"/>
      <c r="F40" s="6"/>
      <c r="G40" s="6"/>
      <c r="H40" s="6">
        <v>289410.98643588601</v>
      </c>
      <c r="I40" s="6">
        <v>2810.1934749970601</v>
      </c>
      <c r="J40" s="6">
        <v>135087.30470529501</v>
      </c>
      <c r="K40" s="6">
        <v>94891.536068961301</v>
      </c>
      <c r="L40" s="6">
        <v>60382.709502472702</v>
      </c>
      <c r="M40" s="6">
        <v>34800.511329627399</v>
      </c>
      <c r="N40">
        <v>14571.213524132099</v>
      </c>
      <c r="O40">
        <v>1423.8838045673799</v>
      </c>
      <c r="P40">
        <v>4990.0236643821099</v>
      </c>
      <c r="Q40">
        <v>35571.681863245401</v>
      </c>
      <c r="R40">
        <v>7926.0758213086301</v>
      </c>
      <c r="S40">
        <v>12218.920801253</v>
      </c>
      <c r="T40">
        <v>3910.42690569448</v>
      </c>
      <c r="U40">
        <v>4209.1714106813397</v>
      </c>
      <c r="V40">
        <v>149.081213585688</v>
      </c>
      <c r="W40">
        <v>2350.6890431986199</v>
      </c>
      <c r="X40">
        <v>2920.5319008107099</v>
      </c>
      <c r="Y40">
        <v>5212.60581652779</v>
      </c>
      <c r="Z40">
        <v>24903.887544903399</v>
      </c>
      <c r="AC40">
        <v>126952.68205148399</v>
      </c>
      <c r="AD40">
        <v>790932.58624638105</v>
      </c>
      <c r="AE40">
        <v>594738.22359576204</v>
      </c>
      <c r="AF40">
        <v>225500.478219779</v>
      </c>
      <c r="AG40">
        <v>19878.6878836219</v>
      </c>
      <c r="AH40">
        <v>184942.75249992899</v>
      </c>
      <c r="AI40">
        <v>55225.203591067802</v>
      </c>
      <c r="AJ40">
        <v>123819.057770459</v>
      </c>
      <c r="AK40">
        <v>198062.56600987501</v>
      </c>
      <c r="AL40">
        <v>110374.74669672899</v>
      </c>
      <c r="AM40">
        <v>72019.3366354389</v>
      </c>
      <c r="AN40">
        <v>15599.0030498653</v>
      </c>
      <c r="AO40">
        <v>1443507.4544172101</v>
      </c>
      <c r="AP40">
        <v>27406.465212208601</v>
      </c>
      <c r="AQ40">
        <v>98898.847232765504</v>
      </c>
      <c r="AR40">
        <v>1571757.6695956199</v>
      </c>
      <c r="AS40">
        <v>1350694.50491106</v>
      </c>
    </row>
    <row r="41" spans="1:45" x14ac:dyDescent="0.25">
      <c r="A41" s="1">
        <f t="shared" si="0"/>
        <v>40238</v>
      </c>
      <c r="B41" s="6">
        <v>169629.50315429899</v>
      </c>
      <c r="C41" s="6">
        <v>-40488.500337937403</v>
      </c>
      <c r="D41" s="6">
        <v>280376.16640911298</v>
      </c>
      <c r="E41" s="6"/>
      <c r="F41" s="6"/>
      <c r="G41" s="6"/>
      <c r="H41" s="6">
        <v>277711.73240244703</v>
      </c>
      <c r="I41" s="6">
        <v>2969.3537527886601</v>
      </c>
      <c r="J41" s="6">
        <v>137264.11664164701</v>
      </c>
      <c r="K41" s="6">
        <v>97224.835623891602</v>
      </c>
      <c r="L41" s="6">
        <v>61945.885489909102</v>
      </c>
      <c r="M41" s="6">
        <v>35555.222657850703</v>
      </c>
      <c r="N41">
        <v>15183.5863594974</v>
      </c>
      <c r="O41">
        <v>1447.8745222293301</v>
      </c>
      <c r="P41">
        <v>5074.3548717537096</v>
      </c>
      <c r="Q41">
        <v>37020.236881041099</v>
      </c>
      <c r="R41">
        <v>7955.8806107993896</v>
      </c>
      <c r="S41">
        <v>11890.5347917</v>
      </c>
      <c r="T41">
        <v>3958.8090175920502</v>
      </c>
      <c r="U41">
        <v>4501.6958558619599</v>
      </c>
      <c r="V41">
        <v>160.069779588279</v>
      </c>
      <c r="W41">
        <v>2533.6170708637501</v>
      </c>
      <c r="X41">
        <v>3053.4879872093902</v>
      </c>
      <c r="Y41">
        <v>5526.3309396137902</v>
      </c>
      <c r="Z41">
        <v>25244.7424565904</v>
      </c>
      <c r="AC41">
        <v>150735.710004775</v>
      </c>
      <c r="AD41">
        <v>804932.13074597495</v>
      </c>
      <c r="AE41">
        <v>606568.99135854805</v>
      </c>
      <c r="AF41">
        <v>230339.762669638</v>
      </c>
      <c r="AG41">
        <v>21014.147769719701</v>
      </c>
      <c r="AH41">
        <v>188302.92874679001</v>
      </c>
      <c r="AI41">
        <v>55867.696812204798</v>
      </c>
      <c r="AJ41">
        <v>125928.427853367</v>
      </c>
      <c r="AK41">
        <v>200683.269594529</v>
      </c>
      <c r="AL41">
        <v>111869.418440094</v>
      </c>
      <c r="AM41">
        <v>72879.1210346437</v>
      </c>
      <c r="AN41">
        <v>15870.1213949555</v>
      </c>
      <c r="AO41">
        <v>1469749.45342943</v>
      </c>
      <c r="AP41">
        <v>32628.989278990099</v>
      </c>
      <c r="AQ41">
        <v>104392.137306556</v>
      </c>
      <c r="AR41">
        <v>1604869.90709007</v>
      </c>
      <c r="AS41">
        <v>1402766.75696523</v>
      </c>
    </row>
    <row r="42" spans="1:45" x14ac:dyDescent="0.25">
      <c r="A42" s="1">
        <f t="shared" si="0"/>
        <v>40330</v>
      </c>
      <c r="B42" s="6">
        <v>169585.59779243</v>
      </c>
      <c r="C42" s="6">
        <v>-41074.534905987603</v>
      </c>
      <c r="D42" s="6">
        <v>284145.89090446499</v>
      </c>
      <c r="E42" s="6"/>
      <c r="F42" s="6"/>
      <c r="G42" s="6"/>
      <c r="H42" s="6">
        <v>281452.65459409199</v>
      </c>
      <c r="I42" s="6">
        <v>3090.0290920284601</v>
      </c>
      <c r="J42" s="6">
        <v>142966.604387978</v>
      </c>
      <c r="K42" s="6">
        <v>101695.11402232099</v>
      </c>
      <c r="L42" s="6">
        <v>65313.258968819297</v>
      </c>
      <c r="M42" s="6">
        <v>36655.495603547999</v>
      </c>
      <c r="N42">
        <v>15914.7117555758</v>
      </c>
      <c r="O42">
        <v>1471.581165223</v>
      </c>
      <c r="P42">
        <v>5097.6831872598996</v>
      </c>
      <c r="Q42">
        <v>39792.898863209601</v>
      </c>
      <c r="R42">
        <v>8009.3818514691202</v>
      </c>
      <c r="S42">
        <v>13641.298917408099</v>
      </c>
      <c r="T42">
        <v>4076.4167218674302</v>
      </c>
      <c r="U42">
        <v>4801.9624066297001</v>
      </c>
      <c r="V42">
        <v>166.03450919830701</v>
      </c>
      <c r="W42">
        <v>2651.8563661809699</v>
      </c>
      <c r="X42">
        <v>3172.91832976556</v>
      </c>
      <c r="Y42">
        <v>5768.6979994714002</v>
      </c>
      <c r="Z42">
        <v>25860.125552256901</v>
      </c>
      <c r="AC42">
        <v>159907.77459045401</v>
      </c>
      <c r="AD42">
        <v>813257.79708617995</v>
      </c>
      <c r="AE42">
        <v>614844.83533579798</v>
      </c>
      <c r="AF42">
        <v>234937.697383814</v>
      </c>
      <c r="AG42">
        <v>21729.141909895399</v>
      </c>
      <c r="AH42">
        <v>188599.87977360899</v>
      </c>
      <c r="AI42">
        <v>56906.515917926503</v>
      </c>
      <c r="AJ42">
        <v>127952.642864612</v>
      </c>
      <c r="AK42">
        <v>201761.87898957299</v>
      </c>
      <c r="AL42">
        <v>112454.814354751</v>
      </c>
      <c r="AM42">
        <v>73219.458138827002</v>
      </c>
      <c r="AN42">
        <v>16068.6598127</v>
      </c>
      <c r="AO42">
        <v>1500395.40459664</v>
      </c>
      <c r="AP42">
        <v>33443.244275403398</v>
      </c>
      <c r="AQ42">
        <v>104843.18871921999</v>
      </c>
      <c r="AR42">
        <v>1637270.8659562401</v>
      </c>
      <c r="AS42">
        <v>1438202.08137452</v>
      </c>
    </row>
    <row r="43" spans="1:45" x14ac:dyDescent="0.25">
      <c r="A43" s="1">
        <f t="shared" si="0"/>
        <v>40422</v>
      </c>
      <c r="B43" s="6">
        <v>173326.305949606</v>
      </c>
      <c r="C43" s="6">
        <v>-41898.810873514798</v>
      </c>
      <c r="D43" s="6">
        <v>266358.82152419997</v>
      </c>
      <c r="E43" s="6"/>
      <c r="F43" s="6"/>
      <c r="G43" s="6"/>
      <c r="H43" s="6">
        <v>263772.329154604</v>
      </c>
      <c r="I43" s="6">
        <v>3122.3147091831502</v>
      </c>
      <c r="J43" s="6">
        <v>148541.41139320601</v>
      </c>
      <c r="K43" s="6">
        <v>103409.968139078</v>
      </c>
      <c r="L43" s="6">
        <v>66303.291372601903</v>
      </c>
      <c r="M43" s="6">
        <v>37422.821716536499</v>
      </c>
      <c r="N43">
        <v>16427.97381684</v>
      </c>
      <c r="O43">
        <v>1501.92195670918</v>
      </c>
      <c r="P43">
        <v>5094.4147638813401</v>
      </c>
      <c r="Q43">
        <v>42398.245531262801</v>
      </c>
      <c r="R43">
        <v>8097.0117650601997</v>
      </c>
      <c r="S43">
        <v>12877.133768859299</v>
      </c>
      <c r="T43">
        <v>4197.4805846960899</v>
      </c>
      <c r="U43">
        <v>5150.3328022245096</v>
      </c>
      <c r="V43">
        <v>169.57349867090599</v>
      </c>
      <c r="W43">
        <v>2749.37135644721</v>
      </c>
      <c r="X43">
        <v>3264.4864449892002</v>
      </c>
      <c r="Y43">
        <v>6145.8937802354903</v>
      </c>
      <c r="Z43">
        <v>26241.2325321198</v>
      </c>
      <c r="AC43">
        <v>163369.72788480099</v>
      </c>
      <c r="AD43">
        <v>829043.86373137694</v>
      </c>
      <c r="AE43">
        <v>624836.53038860497</v>
      </c>
      <c r="AF43">
        <v>239711.23022381999</v>
      </c>
      <c r="AG43">
        <v>21838.5405866822</v>
      </c>
      <c r="AH43">
        <v>190506.63396993201</v>
      </c>
      <c r="AI43">
        <v>58123.476941876099</v>
      </c>
      <c r="AJ43">
        <v>129944.20454630601</v>
      </c>
      <c r="AK43">
        <v>206570.25108299701</v>
      </c>
      <c r="AL43">
        <v>115941.086385709</v>
      </c>
      <c r="AM43">
        <v>74253.309802688003</v>
      </c>
      <c r="AN43">
        <v>16289.8779591408</v>
      </c>
      <c r="AO43">
        <v>1504795.0128544101</v>
      </c>
      <c r="AP43">
        <v>35511.135206245403</v>
      </c>
      <c r="AQ43">
        <v>106188.355792071</v>
      </c>
      <c r="AR43">
        <v>1646853.8313781801</v>
      </c>
      <c r="AS43">
        <v>1472244.89266823</v>
      </c>
    </row>
    <row r="44" spans="1:45" x14ac:dyDescent="0.25">
      <c r="A44" s="1">
        <f t="shared" si="0"/>
        <v>40513</v>
      </c>
      <c r="B44" s="6">
        <v>176819.88784845101</v>
      </c>
      <c r="C44" s="6">
        <v>-42910.26370612</v>
      </c>
      <c r="D44" s="6">
        <v>281761.36060139898</v>
      </c>
      <c r="E44" s="6"/>
      <c r="F44" s="6"/>
      <c r="G44" s="6"/>
      <c r="H44" s="6">
        <v>278957.23094069603</v>
      </c>
      <c r="I44" s="6">
        <v>3115.8641850249001</v>
      </c>
      <c r="J44" s="6">
        <v>151115.457165931</v>
      </c>
      <c r="K44" s="6">
        <v>105170.76779522801</v>
      </c>
      <c r="L44" s="6">
        <v>67044.459227868807</v>
      </c>
      <c r="M44" s="6">
        <v>38408.490720139198</v>
      </c>
      <c r="N44">
        <v>16417.321984809401</v>
      </c>
      <c r="O44">
        <v>1521.52401300265</v>
      </c>
      <c r="P44">
        <v>5101.78487969662</v>
      </c>
      <c r="Q44">
        <v>42321.202800095503</v>
      </c>
      <c r="R44">
        <v>8200.1845648217204</v>
      </c>
      <c r="S44">
        <v>13367.071147861299</v>
      </c>
      <c r="T44">
        <v>4294.3762951181698</v>
      </c>
      <c r="U44">
        <v>5297.1083141612598</v>
      </c>
      <c r="V44">
        <v>174.12691444692999</v>
      </c>
      <c r="W44">
        <v>2676.72142753558</v>
      </c>
      <c r="X44">
        <v>3263.1361659362901</v>
      </c>
      <c r="Y44">
        <v>6167.6909318886601</v>
      </c>
      <c r="Z44">
        <v>27019.309995251399</v>
      </c>
      <c r="AC44">
        <v>151399.25420211101</v>
      </c>
      <c r="AD44">
        <v>833995.15770946897</v>
      </c>
      <c r="AE44">
        <v>633653.07006373804</v>
      </c>
      <c r="AF44">
        <v>244377.553839192</v>
      </c>
      <c r="AG44">
        <v>22433.168920468001</v>
      </c>
      <c r="AH44">
        <v>192379.63225053699</v>
      </c>
      <c r="AI44">
        <v>59372.068964677601</v>
      </c>
      <c r="AJ44">
        <v>131167.85774529201</v>
      </c>
      <c r="AK44">
        <v>203897.751100669</v>
      </c>
      <c r="AL44">
        <v>114065.040596126</v>
      </c>
      <c r="AM44">
        <v>73544.135378662802</v>
      </c>
      <c r="AN44">
        <v>16266.0550233821</v>
      </c>
      <c r="AO44">
        <v>1513587.1728014301</v>
      </c>
      <c r="AP44">
        <v>33999.8729287038</v>
      </c>
      <c r="AQ44">
        <v>108255.01680441199</v>
      </c>
      <c r="AR44">
        <v>1653490.83422568</v>
      </c>
      <c r="AS44">
        <v>1463493.4604507301</v>
      </c>
    </row>
    <row r="45" spans="1:45" x14ac:dyDescent="0.25">
      <c r="A45" s="1">
        <f t="shared" si="0"/>
        <v>40603</v>
      </c>
      <c r="B45" s="6">
        <v>182116.85009701701</v>
      </c>
      <c r="C45" s="6">
        <v>-44270.448142482099</v>
      </c>
      <c r="D45" s="6">
        <v>285875.794635839</v>
      </c>
      <c r="E45" s="6"/>
      <c r="F45" s="6"/>
      <c r="G45" s="6"/>
      <c r="H45" s="6">
        <v>283177.43385245203</v>
      </c>
      <c r="I45" s="6">
        <v>3004.4698249784301</v>
      </c>
      <c r="J45" s="6">
        <v>156385.499867215</v>
      </c>
      <c r="K45" s="6">
        <v>106762.541873378</v>
      </c>
      <c r="L45" s="6">
        <v>67628.445424331701</v>
      </c>
      <c r="M45" s="6">
        <v>39476.494438670503</v>
      </c>
      <c r="N45">
        <v>16462.1393401036</v>
      </c>
      <c r="O45">
        <v>1534.2076983468501</v>
      </c>
      <c r="P45">
        <v>5024.16821733302</v>
      </c>
      <c r="Q45">
        <v>45215.080271817598</v>
      </c>
      <c r="R45">
        <v>8418.7178152698307</v>
      </c>
      <c r="S45">
        <v>13673.1413958458</v>
      </c>
      <c r="T45">
        <v>4373.8063039292701</v>
      </c>
      <c r="U45">
        <v>5329.3558673012903</v>
      </c>
      <c r="V45">
        <v>172.405181994256</v>
      </c>
      <c r="W45">
        <v>2689.0009977505301</v>
      </c>
      <c r="X45">
        <v>3271.0122002664398</v>
      </c>
      <c r="Y45">
        <v>6077.4360149992799</v>
      </c>
      <c r="Z45">
        <v>27793.6389090015</v>
      </c>
      <c r="AC45">
        <v>148574.29585883301</v>
      </c>
      <c r="AD45">
        <v>844984.959542342</v>
      </c>
      <c r="AE45">
        <v>640406.39285062801</v>
      </c>
      <c r="AF45">
        <v>247080.52736778901</v>
      </c>
      <c r="AG45">
        <v>23130.595756344799</v>
      </c>
      <c r="AH45">
        <v>194217.21294880399</v>
      </c>
      <c r="AI45">
        <v>60952.198316319496</v>
      </c>
      <c r="AJ45">
        <v>133547.33908089399</v>
      </c>
      <c r="AK45">
        <v>208264.18980192099</v>
      </c>
      <c r="AL45">
        <v>117389.454368106</v>
      </c>
      <c r="AM45">
        <v>74145.532137069196</v>
      </c>
      <c r="AN45">
        <v>16658.418259579299</v>
      </c>
      <c r="AO45">
        <v>1542269.24631053</v>
      </c>
      <c r="AP45">
        <v>31895.281425379701</v>
      </c>
      <c r="AQ45">
        <v>107022.801882367</v>
      </c>
      <c r="AR45">
        <v>1680209.0560536</v>
      </c>
      <c r="AS45">
        <v>1479037.37117325</v>
      </c>
    </row>
    <row r="46" spans="1:45" x14ac:dyDescent="0.25">
      <c r="A46" s="1">
        <f t="shared" si="0"/>
        <v>40695</v>
      </c>
      <c r="B46" s="6">
        <v>187017.227866139</v>
      </c>
      <c r="C46" s="6">
        <v>-44945.001620269999</v>
      </c>
      <c r="D46" s="6">
        <v>264350.31185246003</v>
      </c>
      <c r="E46" s="6"/>
      <c r="F46" s="6"/>
      <c r="G46" s="6"/>
      <c r="H46" s="6">
        <v>261817.95642326199</v>
      </c>
      <c r="I46" s="6">
        <v>2900.88700386031</v>
      </c>
      <c r="J46" s="6">
        <v>150228.48775424101</v>
      </c>
      <c r="K46" s="6">
        <v>108300.634863019</v>
      </c>
      <c r="L46" s="6">
        <v>68210.548262661294</v>
      </c>
      <c r="M46" s="6">
        <v>40421.810736846703</v>
      </c>
      <c r="N46">
        <v>16390.9282724074</v>
      </c>
      <c r="O46">
        <v>1541.6135418220199</v>
      </c>
      <c r="P46">
        <v>5031.9463072114904</v>
      </c>
      <c r="Q46">
        <v>41118.101981134198</v>
      </c>
      <c r="R46">
        <v>8562.9674059306508</v>
      </c>
      <c r="S46">
        <v>13939.519744018</v>
      </c>
      <c r="T46">
        <v>4447.3143505892403</v>
      </c>
      <c r="U46">
        <v>5473.8814534101703</v>
      </c>
      <c r="V46">
        <v>170.47996338986701</v>
      </c>
      <c r="W46">
        <v>2609.79716635978</v>
      </c>
      <c r="X46">
        <v>3244.5651837924402</v>
      </c>
      <c r="Y46">
        <v>6205.2418902138497</v>
      </c>
      <c r="Z46">
        <v>27911.502915361401</v>
      </c>
      <c r="AC46">
        <v>164069.149896666</v>
      </c>
      <c r="AD46">
        <v>853275.887929191</v>
      </c>
      <c r="AE46">
        <v>648313.74506515195</v>
      </c>
      <c r="AF46">
        <v>250286.98949150601</v>
      </c>
      <c r="AG46">
        <v>23695.468518763999</v>
      </c>
      <c r="AH46">
        <v>195921.37323970799</v>
      </c>
      <c r="AI46">
        <v>61639.2753554956</v>
      </c>
      <c r="AJ46">
        <v>135388.044516002</v>
      </c>
      <c r="AK46">
        <v>209872.78243409499</v>
      </c>
      <c r="AL46">
        <v>118645.43960127801</v>
      </c>
      <c r="AM46">
        <v>74342.177505674903</v>
      </c>
      <c r="AN46">
        <v>16841.613339859599</v>
      </c>
      <c r="AO46">
        <v>1529903.2018545</v>
      </c>
      <c r="AP46">
        <v>30228.255252544299</v>
      </c>
      <c r="AQ46">
        <v>106001.52954868</v>
      </c>
      <c r="AR46">
        <v>1666626.4447572001</v>
      </c>
      <c r="AS46">
        <v>1506473.24237862</v>
      </c>
    </row>
    <row r="47" spans="1:45" x14ac:dyDescent="0.25">
      <c r="A47" s="1">
        <f t="shared" si="0"/>
        <v>40787</v>
      </c>
      <c r="B47" s="6">
        <v>191309.197887171</v>
      </c>
      <c r="C47" s="6">
        <v>-45242.9326163039</v>
      </c>
      <c r="D47" s="6">
        <v>266308.017518943</v>
      </c>
      <c r="E47" s="6"/>
      <c r="F47" s="6"/>
      <c r="G47" s="6"/>
      <c r="H47" s="6">
        <v>263767.563210789</v>
      </c>
      <c r="I47" s="6">
        <v>2893.7378946025801</v>
      </c>
      <c r="J47" s="6">
        <v>142901.55423943399</v>
      </c>
      <c r="K47" s="6">
        <v>108960.79741009</v>
      </c>
      <c r="L47" s="6">
        <v>68290.446365217795</v>
      </c>
      <c r="M47" s="6">
        <v>41141.743535751702</v>
      </c>
      <c r="N47">
        <v>16642.376934805601</v>
      </c>
      <c r="O47">
        <v>1540.0116841001</v>
      </c>
      <c r="P47">
        <v>5127.2866491922996</v>
      </c>
      <c r="Q47">
        <v>37202.567693169003</v>
      </c>
      <c r="R47">
        <v>8680.1913114340496</v>
      </c>
      <c r="S47">
        <v>13619.006504503999</v>
      </c>
      <c r="T47">
        <v>4487.3692564293196</v>
      </c>
      <c r="U47">
        <v>5495.5255266998802</v>
      </c>
      <c r="V47">
        <v>168.742734652075</v>
      </c>
      <c r="W47">
        <v>2546.5896214504601</v>
      </c>
      <c r="X47">
        <v>3191.25905810015</v>
      </c>
      <c r="Y47">
        <v>6092.8858913684098</v>
      </c>
      <c r="Z47">
        <v>28931.205942140801</v>
      </c>
      <c r="AC47">
        <v>171975.791929275</v>
      </c>
      <c r="AD47">
        <v>870834.60779972805</v>
      </c>
      <c r="AE47">
        <v>655616.77376888599</v>
      </c>
      <c r="AF47">
        <v>253215.14568736899</v>
      </c>
      <c r="AG47">
        <v>24180.633439704801</v>
      </c>
      <c r="AH47">
        <v>197430.205500098</v>
      </c>
      <c r="AI47">
        <v>61896.032263963301</v>
      </c>
      <c r="AJ47">
        <v>136717.823866172</v>
      </c>
      <c r="AK47">
        <v>217709.62426860401</v>
      </c>
      <c r="AL47">
        <v>124258.711156929</v>
      </c>
      <c r="AM47">
        <v>76153.449355724806</v>
      </c>
      <c r="AN47">
        <v>16985.140666980398</v>
      </c>
      <c r="AO47">
        <v>1549115.41805298</v>
      </c>
      <c r="AP47">
        <v>33208.605179115497</v>
      </c>
      <c r="AQ47">
        <v>105963.493323235</v>
      </c>
      <c r="AR47">
        <v>1690218.0619132</v>
      </c>
      <c r="AS47">
        <v>1522197.02836527</v>
      </c>
    </row>
    <row r="48" spans="1:45" x14ac:dyDescent="0.25">
      <c r="A48" s="1">
        <f t="shared" si="0"/>
        <v>40878</v>
      </c>
      <c r="B48" s="6">
        <v>195802.47411732699</v>
      </c>
      <c r="C48" s="6">
        <v>-45326.1572687527</v>
      </c>
      <c r="D48" s="6">
        <v>259464.52188819999</v>
      </c>
      <c r="E48" s="6"/>
      <c r="F48" s="6"/>
      <c r="G48" s="6"/>
      <c r="H48" s="6">
        <v>256832.92719708601</v>
      </c>
      <c r="I48" s="6">
        <v>2918.5213864239199</v>
      </c>
      <c r="J48" s="6">
        <v>136423.34725037901</v>
      </c>
      <c r="K48" s="6">
        <v>109391.497276561</v>
      </c>
      <c r="L48" s="6">
        <v>68421.626679771405</v>
      </c>
      <c r="M48" s="6">
        <v>41389.922145338001</v>
      </c>
      <c r="N48">
        <v>16790.548699847099</v>
      </c>
      <c r="O48">
        <v>1538.82938751651</v>
      </c>
      <c r="P48">
        <v>5251.20172902596</v>
      </c>
      <c r="Q48">
        <v>32961.383669291499</v>
      </c>
      <c r="R48">
        <v>8761.6111770730295</v>
      </c>
      <c r="S48">
        <v>13635.3443273086</v>
      </c>
      <c r="T48">
        <v>4488.3274743985603</v>
      </c>
      <c r="U48">
        <v>5416.7996375244202</v>
      </c>
      <c r="V48">
        <v>167.31897261051901</v>
      </c>
      <c r="W48">
        <v>2631.4669973883601</v>
      </c>
      <c r="X48">
        <v>3140.3110288733601</v>
      </c>
      <c r="Y48">
        <v>5976.6007753439699</v>
      </c>
      <c r="Z48">
        <v>28494.559797817299</v>
      </c>
      <c r="AC48">
        <v>189598.18367475699</v>
      </c>
      <c r="AD48">
        <v>883509.88476389297</v>
      </c>
      <c r="AE48">
        <v>663267.39884453896</v>
      </c>
      <c r="AF48">
        <v>255942.639318081</v>
      </c>
      <c r="AG48">
        <v>24234.0417236004</v>
      </c>
      <c r="AH48">
        <v>200754.054955503</v>
      </c>
      <c r="AI48">
        <v>61967.580000647402</v>
      </c>
      <c r="AJ48">
        <v>137880.32292310701</v>
      </c>
      <c r="AK48">
        <v>220779.10980111599</v>
      </c>
      <c r="AL48">
        <v>126247.443263554</v>
      </c>
      <c r="AM48">
        <v>77106.322881967804</v>
      </c>
      <c r="AN48">
        <v>17054.065327917699</v>
      </c>
      <c r="AO48">
        <v>1556933.8558124399</v>
      </c>
      <c r="AP48">
        <v>35032.278195384803</v>
      </c>
      <c r="AQ48">
        <v>106357.959526337</v>
      </c>
      <c r="AR48">
        <v>1697603.08410349</v>
      </c>
      <c r="AS48">
        <v>1560694.8506729</v>
      </c>
    </row>
    <row r="49" spans="1:45" x14ac:dyDescent="0.25">
      <c r="A49" s="1">
        <f t="shared" si="0"/>
        <v>40969</v>
      </c>
      <c r="B49" s="6">
        <v>199109.114213113</v>
      </c>
      <c r="C49" s="6">
        <v>-45026.200927676597</v>
      </c>
      <c r="D49" s="6">
        <v>276477.07713399403</v>
      </c>
      <c r="E49" s="6"/>
      <c r="F49" s="6"/>
      <c r="G49" s="6"/>
      <c r="H49" s="6">
        <v>273900.15902569197</v>
      </c>
      <c r="I49" s="6">
        <v>2947.7413717126301</v>
      </c>
      <c r="J49" s="6">
        <v>135963.24065570801</v>
      </c>
      <c r="K49" s="6">
        <v>110129.303225809</v>
      </c>
      <c r="L49" s="6">
        <v>68958.180491548206</v>
      </c>
      <c r="M49" s="6">
        <v>41617.094028863001</v>
      </c>
      <c r="N49">
        <v>16648.8844421453</v>
      </c>
      <c r="O49">
        <v>1519.4471755539801</v>
      </c>
      <c r="P49">
        <v>5421.5477018245901</v>
      </c>
      <c r="Q49">
        <v>34250.9981575977</v>
      </c>
      <c r="R49">
        <v>8817.8444613980591</v>
      </c>
      <c r="S49">
        <v>14019.322317231999</v>
      </c>
      <c r="T49">
        <v>4495.3185970170298</v>
      </c>
      <c r="U49">
        <v>5490.0483046631098</v>
      </c>
      <c r="V49">
        <v>165.90777497602201</v>
      </c>
      <c r="W49">
        <v>2657.8739373564899</v>
      </c>
      <c r="X49">
        <v>3027.3842270785399</v>
      </c>
      <c r="Y49">
        <v>5980.5472544126596</v>
      </c>
      <c r="Z49">
        <v>30092.040274074301</v>
      </c>
      <c r="AC49">
        <v>184479.32128724601</v>
      </c>
      <c r="AD49">
        <v>886319.97542102099</v>
      </c>
      <c r="AE49">
        <v>667604.499972319</v>
      </c>
      <c r="AF49">
        <v>259215.78451830399</v>
      </c>
      <c r="AG49">
        <v>23853.638767931501</v>
      </c>
      <c r="AH49">
        <v>202975.787211488</v>
      </c>
      <c r="AI49">
        <v>61600.577461182504</v>
      </c>
      <c r="AJ49">
        <v>138027.54308367299</v>
      </c>
      <c r="AK49">
        <v>221458.038715726</v>
      </c>
      <c r="AL49">
        <v>126317.78577623601</v>
      </c>
      <c r="AM49">
        <v>77637.833428239799</v>
      </c>
      <c r="AN49">
        <v>17002.339040193201</v>
      </c>
      <c r="AO49">
        <v>1589160.7377454001</v>
      </c>
      <c r="AP49">
        <v>39260.820153521301</v>
      </c>
      <c r="AQ49">
        <v>107838.12154603501</v>
      </c>
      <c r="AR49">
        <v>1734301.3179208999</v>
      </c>
      <c r="AS49">
        <v>1561605.8585502801</v>
      </c>
    </row>
    <row r="50" spans="1:45" x14ac:dyDescent="0.25">
      <c r="A50" s="1">
        <f t="shared" si="0"/>
        <v>41061</v>
      </c>
      <c r="B50" s="6">
        <v>203751.90987033199</v>
      </c>
      <c r="C50" s="6">
        <v>-44692.596893963899</v>
      </c>
      <c r="D50" s="6">
        <v>259536.793753601</v>
      </c>
      <c r="E50" s="6"/>
      <c r="F50" s="6"/>
      <c r="G50" s="6"/>
      <c r="H50" s="6">
        <v>257031.561679053</v>
      </c>
      <c r="I50" s="6">
        <v>2978.3372947300099</v>
      </c>
      <c r="J50" s="6">
        <v>131046.819295815</v>
      </c>
      <c r="K50" s="6">
        <v>110249.333475451</v>
      </c>
      <c r="L50" s="6">
        <v>68986.377435289702</v>
      </c>
      <c r="M50" s="6">
        <v>41670.4546721808</v>
      </c>
      <c r="N50">
        <v>16865.8056038625</v>
      </c>
      <c r="O50">
        <v>1518.5342878645299</v>
      </c>
      <c r="P50">
        <v>5606.99882095263</v>
      </c>
      <c r="Q50">
        <v>31577.561039290798</v>
      </c>
      <c r="R50">
        <v>8811.56831616419</v>
      </c>
      <c r="S50">
        <v>13867.3397730869</v>
      </c>
      <c r="T50">
        <v>4478.6303663174804</v>
      </c>
      <c r="U50">
        <v>5436.5861640840103</v>
      </c>
      <c r="V50">
        <v>164.23506606259599</v>
      </c>
      <c r="W50">
        <v>2676.9293216900101</v>
      </c>
      <c r="X50">
        <v>3008.0119466636302</v>
      </c>
      <c r="Y50">
        <v>5866.3675250965998</v>
      </c>
      <c r="Z50">
        <v>30541.190342164598</v>
      </c>
      <c r="AC50">
        <v>183063.99400857501</v>
      </c>
      <c r="AD50">
        <v>900940.354619444</v>
      </c>
      <c r="AE50">
        <v>677965.61856671202</v>
      </c>
      <c r="AF50">
        <v>261887.54890321699</v>
      </c>
      <c r="AG50">
        <v>24776.396496318699</v>
      </c>
      <c r="AH50">
        <v>207077.69514461799</v>
      </c>
      <c r="AI50">
        <v>61169.635820454001</v>
      </c>
      <c r="AJ50">
        <v>139746.75824978101</v>
      </c>
      <c r="AK50">
        <v>224468.73160063999</v>
      </c>
      <c r="AL50">
        <v>127976.631250035</v>
      </c>
      <c r="AM50">
        <v>78730.338949937897</v>
      </c>
      <c r="AN50">
        <v>17251.144442737699</v>
      </c>
      <c r="AO50">
        <v>1565092.89225988</v>
      </c>
      <c r="AP50">
        <v>47743.7872682081</v>
      </c>
      <c r="AQ50">
        <v>109109.65467596499</v>
      </c>
      <c r="AR50">
        <v>1717296.1269660899</v>
      </c>
      <c r="AS50">
        <v>1578678.0108108199</v>
      </c>
    </row>
    <row r="51" spans="1:45" x14ac:dyDescent="0.25">
      <c r="A51" s="1">
        <f t="shared" si="0"/>
        <v>41153</v>
      </c>
      <c r="B51" s="6">
        <v>209600.48499953499</v>
      </c>
      <c r="C51" s="6">
        <v>-44840.623890371498</v>
      </c>
      <c r="D51" s="6">
        <v>258051.20348573101</v>
      </c>
      <c r="E51" s="6"/>
      <c r="F51" s="6"/>
      <c r="G51" s="6"/>
      <c r="H51" s="6">
        <v>255354.315253017</v>
      </c>
      <c r="I51" s="6">
        <v>2966.1982938617398</v>
      </c>
      <c r="J51" s="6">
        <v>113429.918196479</v>
      </c>
      <c r="K51" s="6">
        <v>111216.63033748</v>
      </c>
      <c r="L51" s="6">
        <v>69253.788404731895</v>
      </c>
      <c r="M51" s="6">
        <v>42506.813997324898</v>
      </c>
      <c r="N51">
        <v>16847.636462301802</v>
      </c>
      <c r="O51">
        <v>1543.92976246733</v>
      </c>
      <c r="P51">
        <v>5749.0671243861098</v>
      </c>
      <c r="Q51">
        <v>23592.742165501098</v>
      </c>
      <c r="R51">
        <v>8775.3417193609093</v>
      </c>
      <c r="S51">
        <v>13823.0310247333</v>
      </c>
      <c r="T51">
        <v>4473.8782613232697</v>
      </c>
      <c r="U51">
        <v>5453.0226586138197</v>
      </c>
      <c r="V51">
        <v>161.93312890459001</v>
      </c>
      <c r="W51">
        <v>2767.9176885305001</v>
      </c>
      <c r="X51">
        <v>2990.27651080326</v>
      </c>
      <c r="Y51">
        <v>5879.0547011790704</v>
      </c>
      <c r="Z51">
        <v>31303.504546446002</v>
      </c>
      <c r="AC51">
        <v>192875.40641476601</v>
      </c>
      <c r="AD51">
        <v>903262.971271722</v>
      </c>
      <c r="AE51">
        <v>687504.39104647702</v>
      </c>
      <c r="AF51">
        <v>265917.472634595</v>
      </c>
      <c r="AG51">
        <v>26255.451293521299</v>
      </c>
      <c r="AH51">
        <v>210936.731425395</v>
      </c>
      <c r="AI51">
        <v>61288.420157409397</v>
      </c>
      <c r="AJ51">
        <v>138792.972557909</v>
      </c>
      <c r="AK51">
        <v>223242.381032334</v>
      </c>
      <c r="AL51">
        <v>126864.40059584699</v>
      </c>
      <c r="AM51">
        <v>78889.216876216597</v>
      </c>
      <c r="AN51">
        <v>16944.6957303282</v>
      </c>
      <c r="AO51">
        <v>1556123.1896335699</v>
      </c>
      <c r="AP51">
        <v>34780.897892209301</v>
      </c>
      <c r="AQ51">
        <v>112482.290105975</v>
      </c>
      <c r="AR51">
        <v>1703763.2002637601</v>
      </c>
      <c r="AS51">
        <v>1554101.4263942901</v>
      </c>
    </row>
    <row r="52" spans="1:45" x14ac:dyDescent="0.25">
      <c r="A52" s="1">
        <f t="shared" si="0"/>
        <v>41244</v>
      </c>
      <c r="B52" s="6">
        <v>217021.46707980399</v>
      </c>
      <c r="C52" s="6">
        <v>-45388.933736994702</v>
      </c>
      <c r="D52" s="6">
        <v>252623.62084519499</v>
      </c>
      <c r="E52" s="6"/>
      <c r="F52" s="6"/>
      <c r="G52" s="6"/>
      <c r="H52" s="6">
        <v>250005.14837577799</v>
      </c>
      <c r="I52" s="6">
        <v>2998.3860461572199</v>
      </c>
      <c r="J52" s="6">
        <v>117973.73927086301</v>
      </c>
      <c r="K52" s="6">
        <v>112542.11809148399</v>
      </c>
      <c r="L52" s="6">
        <v>70018.483989367407</v>
      </c>
      <c r="M52" s="6">
        <v>42992.253469606097</v>
      </c>
      <c r="N52">
        <v>17241.585624143099</v>
      </c>
      <c r="O52">
        <v>1583.61092572809</v>
      </c>
      <c r="P52">
        <v>5910.0274701600501</v>
      </c>
      <c r="Q52">
        <v>24845.734118259799</v>
      </c>
      <c r="R52">
        <v>8689.5454075748603</v>
      </c>
      <c r="S52">
        <v>13847.5140465894</v>
      </c>
      <c r="T52">
        <v>4488.8229953400996</v>
      </c>
      <c r="U52">
        <v>5607.4529173926503</v>
      </c>
      <c r="V52">
        <v>162.22987484657</v>
      </c>
      <c r="W52">
        <v>2672.2418465302098</v>
      </c>
      <c r="X52">
        <v>2979.8734788310799</v>
      </c>
      <c r="Y52">
        <v>6109.4779613371402</v>
      </c>
      <c r="Z52">
        <v>32437.300796739</v>
      </c>
      <c r="AC52">
        <v>203903.40655056099</v>
      </c>
      <c r="AD52">
        <v>920241.72841975198</v>
      </c>
      <c r="AE52">
        <v>696238.01091470197</v>
      </c>
      <c r="AF52">
        <v>269565.65766846098</v>
      </c>
      <c r="AG52">
        <v>25885.356141574601</v>
      </c>
      <c r="AH52">
        <v>214728.41020223399</v>
      </c>
      <c r="AI52">
        <v>61946.377625959401</v>
      </c>
      <c r="AJ52">
        <v>140628.339706798</v>
      </c>
      <c r="AK52">
        <v>227540.48362546501</v>
      </c>
      <c r="AL52">
        <v>129457.097290819</v>
      </c>
      <c r="AM52">
        <v>80207.259242603104</v>
      </c>
      <c r="AN52">
        <v>17384.242729590602</v>
      </c>
      <c r="AO52">
        <v>1575864.2652010999</v>
      </c>
      <c r="AP52">
        <v>58879.143552630499</v>
      </c>
      <c r="AQ52">
        <v>114400.709124423</v>
      </c>
      <c r="AR52">
        <v>1740913.60401966</v>
      </c>
      <c r="AS52">
        <v>1629086.0839722001</v>
      </c>
    </row>
    <row r="53" spans="1:45" x14ac:dyDescent="0.25">
      <c r="A53" s="1">
        <f t="shared" si="0"/>
        <v>41334</v>
      </c>
      <c r="B53" s="6">
        <v>225010.27595823799</v>
      </c>
      <c r="C53" s="6">
        <v>-46221.927456805301</v>
      </c>
      <c r="D53" s="6">
        <v>252240.96629309299</v>
      </c>
      <c r="E53" s="6"/>
      <c r="F53" s="6"/>
      <c r="G53" s="6"/>
      <c r="H53" s="6">
        <v>249647.09584960999</v>
      </c>
      <c r="I53" s="6">
        <v>2998.6041194255399</v>
      </c>
      <c r="J53" s="6">
        <v>106434.261627595</v>
      </c>
      <c r="K53" s="6">
        <v>112773.241021083</v>
      </c>
      <c r="L53" s="6">
        <v>69893.1177642314</v>
      </c>
      <c r="M53" s="6">
        <v>43465.0300268305</v>
      </c>
      <c r="N53">
        <v>17573.523649625498</v>
      </c>
      <c r="O53">
        <v>1649.16154396088</v>
      </c>
      <c r="P53">
        <v>6028.76652935943</v>
      </c>
      <c r="Q53">
        <v>20339.845459509499</v>
      </c>
      <c r="R53">
        <v>8573.0461717341095</v>
      </c>
      <c r="S53">
        <v>13492.081414747499</v>
      </c>
      <c r="T53">
        <v>4494.6251286383103</v>
      </c>
      <c r="U53">
        <v>5597.0161493076002</v>
      </c>
      <c r="V53">
        <v>165.35986149019601</v>
      </c>
      <c r="W53">
        <v>2588.7466286588901</v>
      </c>
      <c r="X53">
        <v>2970.52322253793</v>
      </c>
      <c r="Y53">
        <v>6119.6712149958503</v>
      </c>
      <c r="Z53">
        <v>31955.363306915999</v>
      </c>
      <c r="AC53">
        <v>214689.51398220001</v>
      </c>
      <c r="AD53">
        <v>931040.23660006199</v>
      </c>
      <c r="AE53">
        <v>705616.14108978701</v>
      </c>
      <c r="AF53">
        <v>274292.17363019899</v>
      </c>
      <c r="AG53">
        <v>25437.431092468199</v>
      </c>
      <c r="AH53">
        <v>218181.14558468701</v>
      </c>
      <c r="AI53">
        <v>62966.609666266602</v>
      </c>
      <c r="AJ53">
        <v>141710.43685104401</v>
      </c>
      <c r="AK53">
        <v>230614.97699805201</v>
      </c>
      <c r="AL53">
        <v>131156.29913847701</v>
      </c>
      <c r="AM53">
        <v>81301.072277114494</v>
      </c>
      <c r="AN53">
        <v>17625.629167435101</v>
      </c>
      <c r="AO53">
        <v>1592551.52720445</v>
      </c>
      <c r="AP53">
        <v>54420.282318131998</v>
      </c>
      <c r="AQ53">
        <v>115682.839488675</v>
      </c>
      <c r="AR53">
        <v>1755009.92963546</v>
      </c>
      <c r="AS53">
        <v>1639873.4852142199</v>
      </c>
    </row>
    <row r="54" spans="1:45" x14ac:dyDescent="0.25">
      <c r="A54" s="1">
        <f t="shared" si="0"/>
        <v>41426</v>
      </c>
      <c r="B54" s="6">
        <v>230167.171438274</v>
      </c>
      <c r="C54" s="6">
        <v>-46940.408056817199</v>
      </c>
      <c r="D54" s="6">
        <v>232830.83726878799</v>
      </c>
      <c r="E54" s="6"/>
      <c r="F54" s="6"/>
      <c r="G54" s="6"/>
      <c r="H54" s="6">
        <v>230329.157189344</v>
      </c>
      <c r="I54" s="6">
        <v>3023.6576977603199</v>
      </c>
      <c r="J54" s="6">
        <v>117192.863965253</v>
      </c>
      <c r="K54" s="6">
        <v>114917.721124466</v>
      </c>
      <c r="L54" s="6">
        <v>71326.810401179901</v>
      </c>
      <c r="M54" s="6">
        <v>44110.619111462598</v>
      </c>
      <c r="N54">
        <v>17755.837269548501</v>
      </c>
      <c r="O54">
        <v>1710.6615938771399</v>
      </c>
      <c r="P54">
        <v>6150.7038438578602</v>
      </c>
      <c r="Q54">
        <v>24668.861264201601</v>
      </c>
      <c r="R54">
        <v>8643.4784576163293</v>
      </c>
      <c r="S54">
        <v>13925.087710396099</v>
      </c>
      <c r="T54">
        <v>4563.7874952332504</v>
      </c>
      <c r="U54">
        <v>5734.4837349060299</v>
      </c>
      <c r="V54">
        <v>166.24906841843</v>
      </c>
      <c r="W54">
        <v>2660.9566212202299</v>
      </c>
      <c r="X54">
        <v>3050.6448939767401</v>
      </c>
      <c r="Y54">
        <v>6318.0303959288603</v>
      </c>
      <c r="Z54">
        <v>32398.681083624801</v>
      </c>
      <c r="AC54">
        <v>220922.076403777</v>
      </c>
      <c r="AD54">
        <v>947104.70126276498</v>
      </c>
      <c r="AE54">
        <v>719523.20417595794</v>
      </c>
      <c r="AF54">
        <v>279885.74742773903</v>
      </c>
      <c r="AG54">
        <v>26264.685508871698</v>
      </c>
      <c r="AH54">
        <v>223389.72994385401</v>
      </c>
      <c r="AI54">
        <v>63885.691267239999</v>
      </c>
      <c r="AJ54">
        <v>142997.10667764899</v>
      </c>
      <c r="AK54">
        <v>233014.196241103</v>
      </c>
      <c r="AL54">
        <v>132463.901928448</v>
      </c>
      <c r="AM54">
        <v>82179.790670299903</v>
      </c>
      <c r="AN54">
        <v>17912.034114247701</v>
      </c>
      <c r="AO54">
        <v>1589623.6885728401</v>
      </c>
      <c r="AP54">
        <v>51901.731024881003</v>
      </c>
      <c r="AQ54">
        <v>117758.55420013001</v>
      </c>
      <c r="AR54">
        <v>1751614.5242993601</v>
      </c>
      <c r="AS54">
        <v>1672044.28896156</v>
      </c>
    </row>
    <row r="55" spans="1:45" x14ac:dyDescent="0.25">
      <c r="A55" s="1">
        <f t="shared" si="0"/>
        <v>41518</v>
      </c>
      <c r="B55" s="6">
        <v>235145.883019998</v>
      </c>
      <c r="C55" s="6">
        <v>-47650.892112609399</v>
      </c>
      <c r="D55" s="6">
        <v>217105.90331600301</v>
      </c>
      <c r="E55" s="6"/>
      <c r="F55" s="6"/>
      <c r="G55" s="6"/>
      <c r="H55" s="6">
        <v>214594.918729739</v>
      </c>
      <c r="I55" s="6">
        <v>3056.0891965750802</v>
      </c>
      <c r="J55" s="6">
        <v>131370.14435383599</v>
      </c>
      <c r="K55" s="6">
        <v>117469.322025342</v>
      </c>
      <c r="L55" s="6">
        <v>72853.805711663095</v>
      </c>
      <c r="M55" s="6">
        <v>45238.888197758701</v>
      </c>
      <c r="N55">
        <v>17714.3626687943</v>
      </c>
      <c r="O55">
        <v>1777.1479497350599</v>
      </c>
      <c r="P55">
        <v>6293.9373635514303</v>
      </c>
      <c r="Q55">
        <v>29669.174263848301</v>
      </c>
      <c r="R55">
        <v>8950.4613311712801</v>
      </c>
      <c r="S55">
        <v>14633.4610504638</v>
      </c>
      <c r="T55">
        <v>4684.3848841384297</v>
      </c>
      <c r="U55">
        <v>5738.0879945382103</v>
      </c>
      <c r="V55">
        <v>164.70267340559599</v>
      </c>
      <c r="W55">
        <v>2667.1620815730498</v>
      </c>
      <c r="X55">
        <v>3152.9803004013602</v>
      </c>
      <c r="Y55">
        <v>6291.5552172717698</v>
      </c>
      <c r="Z55">
        <v>32836.821558121897</v>
      </c>
      <c r="AC55">
        <v>222817.14567998101</v>
      </c>
      <c r="AD55">
        <v>959050.99544327997</v>
      </c>
      <c r="AE55">
        <v>736890.22168201697</v>
      </c>
      <c r="AF55">
        <v>285545.50650133798</v>
      </c>
      <c r="AG55">
        <v>29184.815867493398</v>
      </c>
      <c r="AH55">
        <v>229431.09123001501</v>
      </c>
      <c r="AI55">
        <v>64948.867209698299</v>
      </c>
      <c r="AJ55">
        <v>144099.98838686899</v>
      </c>
      <c r="AK55">
        <v>232880.233051221</v>
      </c>
      <c r="AL55">
        <v>132006.240802296</v>
      </c>
      <c r="AM55">
        <v>82371.917516653106</v>
      </c>
      <c r="AN55">
        <v>18158.967960589402</v>
      </c>
      <c r="AO55">
        <v>1595632.6464148699</v>
      </c>
      <c r="AP55">
        <v>51480.358241181901</v>
      </c>
      <c r="AQ55">
        <v>118044.53176612699</v>
      </c>
      <c r="AR55">
        <v>1759509.0495162299</v>
      </c>
      <c r="AS55">
        <v>1713381.2366526001</v>
      </c>
    </row>
    <row r="56" spans="1:45" x14ac:dyDescent="0.25">
      <c r="A56" s="1">
        <f t="shared" si="0"/>
        <v>41609</v>
      </c>
      <c r="B56" s="6">
        <v>238758.27858768101</v>
      </c>
      <c r="C56" s="6">
        <v>-48390.652193078</v>
      </c>
      <c r="D56" s="6">
        <v>240080.69279621501</v>
      </c>
      <c r="E56" s="6"/>
      <c r="F56" s="6"/>
      <c r="G56" s="6"/>
      <c r="H56" s="6">
        <v>237519.70376926701</v>
      </c>
      <c r="I56" s="6">
        <v>3053.5097535231798</v>
      </c>
      <c r="J56" s="6">
        <v>141506.01883346299</v>
      </c>
      <c r="K56" s="6">
        <v>120587.635024583</v>
      </c>
      <c r="L56" s="6">
        <v>74157.380454613201</v>
      </c>
      <c r="M56" s="6">
        <v>47073.414755086698</v>
      </c>
      <c r="N56">
        <v>17307.9928500893</v>
      </c>
      <c r="O56">
        <v>1836.10102748692</v>
      </c>
      <c r="P56">
        <v>6414.2722086108697</v>
      </c>
      <c r="Q56">
        <v>33065.550995440499</v>
      </c>
      <c r="R56">
        <v>9461.8656828855201</v>
      </c>
      <c r="S56">
        <v>14837.5057766382</v>
      </c>
      <c r="T56">
        <v>4867.2399037514697</v>
      </c>
      <c r="U56">
        <v>5793.7853782755901</v>
      </c>
      <c r="V56">
        <v>165.68796817046399</v>
      </c>
      <c r="W56">
        <v>2913.8800350872798</v>
      </c>
      <c r="X56">
        <v>3311.87686634785</v>
      </c>
      <c r="Y56">
        <v>6318.7074391259202</v>
      </c>
      <c r="Z56">
        <v>35231.798302511299</v>
      </c>
      <c r="AC56">
        <v>209217.79849112299</v>
      </c>
      <c r="AD56">
        <v>971518.10782361799</v>
      </c>
      <c r="AE56">
        <v>744585.11564683903</v>
      </c>
      <c r="AF56">
        <v>292770.76742363401</v>
      </c>
      <c r="AG56">
        <v>25510.741025071002</v>
      </c>
      <c r="AH56">
        <v>233205.268578488</v>
      </c>
      <c r="AI56">
        <v>66120.571612337502</v>
      </c>
      <c r="AJ56">
        <v>144795.27711635601</v>
      </c>
      <c r="AK56">
        <v>235621.00459752299</v>
      </c>
      <c r="AL56">
        <v>133771.18045623999</v>
      </c>
      <c r="AM56">
        <v>83188.644785237295</v>
      </c>
      <c r="AN56">
        <v>18278.554135811199</v>
      </c>
      <c r="AO56">
        <v>1642602.3773147699</v>
      </c>
      <c r="AP56">
        <v>56166.745056346001</v>
      </c>
      <c r="AQ56">
        <v>118369.375368154</v>
      </c>
      <c r="AR56">
        <v>1808727.2540173801</v>
      </c>
      <c r="AS56">
        <v>1734816.7425524399</v>
      </c>
    </row>
    <row r="57" spans="1:45" x14ac:dyDescent="0.25">
      <c r="A57" s="1">
        <f t="shared" si="0"/>
        <v>41699</v>
      </c>
      <c r="B57" s="6">
        <v>236613.25699047901</v>
      </c>
      <c r="C57" s="6">
        <v>-49055.0364023976</v>
      </c>
      <c r="D57" s="6">
        <v>206336.23252571499</v>
      </c>
      <c r="E57" s="6"/>
      <c r="F57" s="6"/>
      <c r="G57" s="6"/>
      <c r="H57" s="6">
        <v>203992.16447140701</v>
      </c>
      <c r="I57" s="6">
        <v>3117.5432990140098</v>
      </c>
      <c r="J57" s="6">
        <v>161584.59689983801</v>
      </c>
      <c r="K57" s="6">
        <v>124949.80115699299</v>
      </c>
      <c r="L57" s="6">
        <v>76714.332222437195</v>
      </c>
      <c r="M57" s="6">
        <v>49036.331724145697</v>
      </c>
      <c r="N57">
        <v>16980.648084529101</v>
      </c>
      <c r="O57">
        <v>1907.8966478612199</v>
      </c>
      <c r="P57">
        <v>6588.5214650831804</v>
      </c>
      <c r="Q57">
        <v>42998.402267920901</v>
      </c>
      <c r="R57">
        <v>10212.2038563674</v>
      </c>
      <c r="S57">
        <v>15793.253108054199</v>
      </c>
      <c r="T57">
        <v>5126.2784585480504</v>
      </c>
      <c r="U57">
        <v>5930.1144356221102</v>
      </c>
      <c r="V57">
        <v>170.70234770352499</v>
      </c>
      <c r="W57">
        <v>3009.4038285640499</v>
      </c>
      <c r="X57">
        <v>3468.1184633994199</v>
      </c>
      <c r="Y57">
        <v>6340.1950597944997</v>
      </c>
      <c r="Z57">
        <v>33929.175141559397</v>
      </c>
      <c r="AC57">
        <v>229600.66917475799</v>
      </c>
      <c r="AD57">
        <v>992406.26337875996</v>
      </c>
      <c r="AE57">
        <v>762035.21557436604</v>
      </c>
      <c r="AF57">
        <v>302376.085764274</v>
      </c>
      <c r="AG57">
        <v>27549.749770226001</v>
      </c>
      <c r="AH57">
        <v>235730.77184235299</v>
      </c>
      <c r="AI57">
        <v>67368.444499495497</v>
      </c>
      <c r="AJ57">
        <v>146243.19220464799</v>
      </c>
      <c r="AK57">
        <v>239754.75269250301</v>
      </c>
      <c r="AL57">
        <v>136576.230883613</v>
      </c>
      <c r="AM57">
        <v>84284.126228772802</v>
      </c>
      <c r="AN57">
        <v>18343.284499943999</v>
      </c>
      <c r="AO57">
        <v>1642506.11231219</v>
      </c>
      <c r="AP57">
        <v>49572.535156833103</v>
      </c>
      <c r="AQ57">
        <v>120399.683625301</v>
      </c>
      <c r="AR57">
        <v>1806195.2318774499</v>
      </c>
      <c r="AS57">
        <v>1792618.7606937101</v>
      </c>
    </row>
    <row r="58" spans="1:45" x14ac:dyDescent="0.25">
      <c r="A58" s="1">
        <f t="shared" si="0"/>
        <v>41791</v>
      </c>
      <c r="B58" s="6">
        <v>237106.116539043</v>
      </c>
      <c r="C58" s="6">
        <v>-49672.558244589301</v>
      </c>
      <c r="D58" s="6">
        <v>218772.76230108799</v>
      </c>
      <c r="E58" s="6"/>
      <c r="F58" s="6"/>
      <c r="G58" s="6"/>
      <c r="H58" s="6">
        <v>216218.96196218001</v>
      </c>
      <c r="I58" s="6">
        <v>3186.1958336151902</v>
      </c>
      <c r="J58" s="6">
        <v>166480.29711016401</v>
      </c>
      <c r="K58" s="6">
        <v>128560.688938711</v>
      </c>
      <c r="L58" s="6">
        <v>78754.339297799102</v>
      </c>
      <c r="M58" s="6">
        <v>50626.197321810701</v>
      </c>
      <c r="N58">
        <v>16474.667340362001</v>
      </c>
      <c r="O58">
        <v>1954.5236147440401</v>
      </c>
      <c r="P58">
        <v>6834.7444358017401</v>
      </c>
      <c r="Q58">
        <v>42124.802086555697</v>
      </c>
      <c r="R58">
        <v>10647.3950862522</v>
      </c>
      <c r="S58">
        <v>16959.959459167701</v>
      </c>
      <c r="T58">
        <v>5363.1757904922397</v>
      </c>
      <c r="U58">
        <v>5994.9347914989003</v>
      </c>
      <c r="V58">
        <v>178.90539308594299</v>
      </c>
      <c r="W58">
        <v>3098.4395694130399</v>
      </c>
      <c r="X58">
        <v>3559.5339959619901</v>
      </c>
      <c r="Y58">
        <v>6372.1323835201501</v>
      </c>
      <c r="Z58">
        <v>35166.945990330401</v>
      </c>
      <c r="AC58">
        <v>231409.74606428199</v>
      </c>
      <c r="AD58">
        <v>1004618.83696706</v>
      </c>
      <c r="AE58">
        <v>772383.20895436604</v>
      </c>
      <c r="AF58">
        <v>310605.03767334</v>
      </c>
      <c r="AG58">
        <v>25802.854086338699</v>
      </c>
      <c r="AH58">
        <v>238199.90847914899</v>
      </c>
      <c r="AI58">
        <v>68379.872965205301</v>
      </c>
      <c r="AJ58">
        <v>147596.47788797299</v>
      </c>
      <c r="AK58">
        <v>241918.048606286</v>
      </c>
      <c r="AL58">
        <v>137987.855866053</v>
      </c>
      <c r="AM58">
        <v>84927.089408300293</v>
      </c>
      <c r="AN58">
        <v>18490.5312818034</v>
      </c>
      <c r="AO58">
        <v>1683941.42317453</v>
      </c>
      <c r="AP58">
        <v>48331.4434586844</v>
      </c>
      <c r="AQ58">
        <v>121533.189130186</v>
      </c>
      <c r="AR58">
        <v>1849256.57514287</v>
      </c>
      <c r="AS58">
        <v>1816929.12906063</v>
      </c>
    </row>
    <row r="59" spans="1:45" x14ac:dyDescent="0.25">
      <c r="A59" s="1">
        <f t="shared" si="0"/>
        <v>41883</v>
      </c>
      <c r="B59" s="6">
        <v>238757.765787932</v>
      </c>
      <c r="C59" s="6">
        <v>-50281.760474028699</v>
      </c>
      <c r="D59" s="6">
        <v>217933.65242637601</v>
      </c>
      <c r="E59" s="6"/>
      <c r="F59" s="6"/>
      <c r="G59" s="6"/>
      <c r="H59" s="6">
        <v>215407.80094496999</v>
      </c>
      <c r="I59" s="6">
        <v>3225.2327530439902</v>
      </c>
      <c r="J59" s="6">
        <v>168900.88882990801</v>
      </c>
      <c r="K59" s="6">
        <v>130693.224318596</v>
      </c>
      <c r="L59" s="6">
        <v>79720.938550505904</v>
      </c>
      <c r="M59" s="6">
        <v>51893.957996224897</v>
      </c>
      <c r="N59">
        <v>16501.550379969201</v>
      </c>
      <c r="O59">
        <v>1974.8117228216299</v>
      </c>
      <c r="P59">
        <v>6888.3979370790903</v>
      </c>
      <c r="Q59">
        <v>42522.955317308697</v>
      </c>
      <c r="R59">
        <v>10830.64587156</v>
      </c>
      <c r="S59">
        <v>17092.747801645299</v>
      </c>
      <c r="T59">
        <v>5564.6507200470896</v>
      </c>
      <c r="U59">
        <v>6058.0406520541501</v>
      </c>
      <c r="V59">
        <v>192.11527050960899</v>
      </c>
      <c r="W59">
        <v>3088.4725802314401</v>
      </c>
      <c r="X59">
        <v>3643.0408917394002</v>
      </c>
      <c r="Y59">
        <v>6453.9574073671401</v>
      </c>
      <c r="Z59">
        <v>35833.311036657702</v>
      </c>
      <c r="AC59">
        <v>235621.94880940701</v>
      </c>
      <c r="AD59">
        <v>1010867.24050388</v>
      </c>
      <c r="AE59">
        <v>782226.51642270596</v>
      </c>
      <c r="AF59">
        <v>316359.14779597998</v>
      </c>
      <c r="AG59">
        <v>24684.064755686901</v>
      </c>
      <c r="AH59">
        <v>240511.42249085099</v>
      </c>
      <c r="AI59">
        <v>69318.042766193801</v>
      </c>
      <c r="AJ59">
        <v>149897.95917706899</v>
      </c>
      <c r="AK59">
        <v>242128.72081241501</v>
      </c>
      <c r="AL59">
        <v>137840.48979955001</v>
      </c>
      <c r="AM59">
        <v>85085.864159861798</v>
      </c>
      <c r="AN59">
        <v>18725.584696086498</v>
      </c>
      <c r="AO59">
        <v>1699142.68587466</v>
      </c>
      <c r="AP59">
        <v>46258.282280769497</v>
      </c>
      <c r="AQ59">
        <v>122369.770211157</v>
      </c>
      <c r="AR59">
        <v>1864166.8298233501</v>
      </c>
      <c r="AS59">
        <v>1838732.3465941099</v>
      </c>
    </row>
    <row r="60" spans="1:45" x14ac:dyDescent="0.25">
      <c r="A60" s="1">
        <f t="shared" si="0"/>
        <v>41974</v>
      </c>
      <c r="B60" s="6">
        <v>245254.44013302901</v>
      </c>
      <c r="C60" s="6">
        <v>-50922.300120761101</v>
      </c>
      <c r="D60" s="6">
        <v>190540.33603453901</v>
      </c>
      <c r="E60" s="6"/>
      <c r="F60" s="6"/>
      <c r="G60" s="6"/>
      <c r="H60" s="6">
        <v>188214.29311649801</v>
      </c>
      <c r="I60" s="6">
        <v>3168.5652856873699</v>
      </c>
      <c r="J60" s="6">
        <v>171033.51960492699</v>
      </c>
      <c r="K60" s="6">
        <v>132319.775241289</v>
      </c>
      <c r="L60" s="6">
        <v>80421.7627611309</v>
      </c>
      <c r="M60" s="6">
        <v>52764.7097592235</v>
      </c>
      <c r="N60">
        <v>16341.423032364</v>
      </c>
      <c r="O60">
        <v>1967.99055224527</v>
      </c>
      <c r="P60">
        <v>7096.8143169290697</v>
      </c>
      <c r="Q60">
        <v>43293.543398305199</v>
      </c>
      <c r="R60">
        <v>10712.712440391901</v>
      </c>
      <c r="S60">
        <v>17738.050219104702</v>
      </c>
      <c r="T60">
        <v>5735.5609150875698</v>
      </c>
      <c r="U60">
        <v>6131.8700250640204</v>
      </c>
      <c r="V60">
        <v>182.89870525392499</v>
      </c>
      <c r="W60">
        <v>3007.7548499157301</v>
      </c>
      <c r="X60">
        <v>3609.8642307304399</v>
      </c>
      <c r="Y60">
        <v>6580.9517483271302</v>
      </c>
      <c r="Z60">
        <v>36120.526467391603</v>
      </c>
      <c r="AC60">
        <v>238421.99784352799</v>
      </c>
      <c r="AD60">
        <v>1027688.5463207</v>
      </c>
      <c r="AE60">
        <v>793123.71282272495</v>
      </c>
      <c r="AF60">
        <v>321076.62434218201</v>
      </c>
      <c r="AG60">
        <v>25539.731598608501</v>
      </c>
      <c r="AH60">
        <v>242632.64350541399</v>
      </c>
      <c r="AI60">
        <v>70173.230836298302</v>
      </c>
      <c r="AJ60">
        <v>152984.87318067401</v>
      </c>
      <c r="AK60">
        <v>245771.521542014</v>
      </c>
      <c r="AL60">
        <v>140075.25789900901</v>
      </c>
      <c r="AM60">
        <v>86018.458427542399</v>
      </c>
      <c r="AN60">
        <v>19243.3707352526</v>
      </c>
      <c r="AO60">
        <v>1672375.18757156</v>
      </c>
      <c r="AP60">
        <v>54073.501432327197</v>
      </c>
      <c r="AQ60">
        <v>129539.412641916</v>
      </c>
      <c r="AR60">
        <v>1844068.1086762701</v>
      </c>
      <c r="AS60">
        <v>1870306.98221477</v>
      </c>
    </row>
    <row r="61" spans="1:45" x14ac:dyDescent="0.25">
      <c r="A61" s="1">
        <f t="shared" si="0"/>
        <v>42064</v>
      </c>
      <c r="B61" s="6">
        <v>249999.890800975</v>
      </c>
      <c r="C61" s="6">
        <v>-51482.048755716802</v>
      </c>
      <c r="D61" s="6">
        <v>197650.269137658</v>
      </c>
      <c r="E61" s="6"/>
      <c r="F61" s="6"/>
      <c r="G61" s="6"/>
      <c r="H61" s="6">
        <v>195215.037676704</v>
      </c>
      <c r="I61" s="6">
        <v>3179.9513652411702</v>
      </c>
      <c r="J61" s="6">
        <v>161202.109597492</v>
      </c>
      <c r="K61" s="6">
        <v>132824.692871796</v>
      </c>
      <c r="L61" s="6">
        <v>80844.878027106999</v>
      </c>
      <c r="M61" s="6">
        <v>52975.412566090403</v>
      </c>
      <c r="N61">
        <v>16776.0433593493</v>
      </c>
      <c r="O61">
        <v>1920.53291344682</v>
      </c>
      <c r="P61">
        <v>7247.25975673629</v>
      </c>
      <c r="Q61">
        <v>40230.590750472496</v>
      </c>
      <c r="R61">
        <v>10333.745617394499</v>
      </c>
      <c r="S61">
        <v>17631.551619060501</v>
      </c>
      <c r="T61">
        <v>5902.5199810586601</v>
      </c>
      <c r="U61">
        <v>6155.7521703797102</v>
      </c>
      <c r="V61">
        <v>188.62107639742601</v>
      </c>
      <c r="W61">
        <v>3108.25773754994</v>
      </c>
      <c r="X61">
        <v>3683.9451382691</v>
      </c>
      <c r="Y61">
        <v>6689.5354751310997</v>
      </c>
      <c r="Z61">
        <v>36914.314445993303</v>
      </c>
      <c r="AC61">
        <v>241470.965328677</v>
      </c>
      <c r="AD61">
        <v>1041138.39229859</v>
      </c>
      <c r="AE61">
        <v>802689.22711185599</v>
      </c>
      <c r="AF61">
        <v>322819.395324176</v>
      </c>
      <c r="AG61">
        <v>24476.3156441307</v>
      </c>
      <c r="AH61">
        <v>246859.92421018501</v>
      </c>
      <c r="AI61">
        <v>70896.5099274518</v>
      </c>
      <c r="AJ61">
        <v>156201.14783269499</v>
      </c>
      <c r="AK61">
        <v>249630.059347848</v>
      </c>
      <c r="AL61">
        <v>142570.27249534699</v>
      </c>
      <c r="AM61">
        <v>87037.606006639297</v>
      </c>
      <c r="AN61">
        <v>19696.9637280395</v>
      </c>
      <c r="AO61">
        <v>1691042.58048115</v>
      </c>
      <c r="AP61">
        <v>49464.415842913797</v>
      </c>
      <c r="AQ61">
        <v>125837.93371563499</v>
      </c>
      <c r="AR61">
        <v>1860764.4947989699</v>
      </c>
      <c r="AS61">
        <v>1870193.8798129801</v>
      </c>
    </row>
    <row r="62" spans="1:45" x14ac:dyDescent="0.25">
      <c r="A62" s="1">
        <f t="shared" si="0"/>
        <v>42156</v>
      </c>
      <c r="B62" s="6">
        <v>252866.660890951</v>
      </c>
      <c r="C62" s="6">
        <v>-52009.6723194636</v>
      </c>
      <c r="D62" s="6">
        <v>218461.650778109</v>
      </c>
      <c r="E62" s="6"/>
      <c r="F62" s="6"/>
      <c r="G62" s="6"/>
      <c r="H62" s="6">
        <v>215959.612574695</v>
      </c>
      <c r="I62" s="6">
        <v>3191.9615025426201</v>
      </c>
      <c r="J62" s="6">
        <v>161506.97534120199</v>
      </c>
      <c r="K62" s="6">
        <v>133889.52267793601</v>
      </c>
      <c r="L62" s="6">
        <v>81232.625985400402</v>
      </c>
      <c r="M62" s="6">
        <v>53607.771556229098</v>
      </c>
      <c r="N62">
        <v>16929.000619881401</v>
      </c>
      <c r="O62">
        <v>1896.8403525106501</v>
      </c>
      <c r="P62">
        <v>7355.5445649966296</v>
      </c>
      <c r="Q62">
        <v>38615.2068966113</v>
      </c>
      <c r="R62">
        <v>10102.560300508299</v>
      </c>
      <c r="S62">
        <v>17573.036190215898</v>
      </c>
      <c r="T62">
        <v>6040.2330750148103</v>
      </c>
      <c r="U62">
        <v>6310.9373298028404</v>
      </c>
      <c r="V62">
        <v>197.66528371029</v>
      </c>
      <c r="W62">
        <v>3115.8284603134298</v>
      </c>
      <c r="X62">
        <v>3683.9700801569002</v>
      </c>
      <c r="Y62">
        <v>6934.1853268274499</v>
      </c>
      <c r="Z62">
        <v>37736.650018297798</v>
      </c>
      <c r="AC62">
        <v>240873.463958571</v>
      </c>
      <c r="AD62">
        <v>1050032.38342446</v>
      </c>
      <c r="AE62">
        <v>808381.56055748404</v>
      </c>
      <c r="AF62">
        <v>325170.18951752997</v>
      </c>
      <c r="AG62">
        <v>24419.930811185601</v>
      </c>
      <c r="AH62">
        <v>247566.64117896199</v>
      </c>
      <c r="AI62">
        <v>71601.929816603006</v>
      </c>
      <c r="AJ62">
        <v>158976.08725157499</v>
      </c>
      <c r="AK62">
        <v>252962.39810633499</v>
      </c>
      <c r="AL62">
        <v>144709.63109874001</v>
      </c>
      <c r="AM62">
        <v>87991.3211038593</v>
      </c>
      <c r="AN62">
        <v>20050.947836356001</v>
      </c>
      <c r="AO62">
        <v>1734229.91243769</v>
      </c>
      <c r="AP62">
        <v>58789.011416136098</v>
      </c>
      <c r="AQ62">
        <v>130405.195519367</v>
      </c>
      <c r="AR62">
        <v>1914287.76656847</v>
      </c>
      <c r="AS62">
        <v>1899571.8113350801</v>
      </c>
    </row>
    <row r="63" spans="1:45" x14ac:dyDescent="0.25">
      <c r="A63" s="1">
        <f t="shared" si="0"/>
        <v>42248</v>
      </c>
      <c r="B63" s="6">
        <v>256985.68824382799</v>
      </c>
      <c r="C63" s="6">
        <v>-52554.210689450403</v>
      </c>
      <c r="D63" s="6">
        <v>212867.448553881</v>
      </c>
      <c r="E63" s="6"/>
      <c r="F63" s="6"/>
      <c r="G63" s="6"/>
      <c r="H63" s="6">
        <v>210393.652669862</v>
      </c>
      <c r="I63" s="6">
        <v>3189.3180391881401</v>
      </c>
      <c r="J63" s="6">
        <v>160226.89753463399</v>
      </c>
      <c r="K63" s="6">
        <v>134608.200669969</v>
      </c>
      <c r="L63" s="6">
        <v>81558.228338222296</v>
      </c>
      <c r="M63" s="6">
        <v>54064.098855046301</v>
      </c>
      <c r="N63">
        <v>17011.007898644901</v>
      </c>
      <c r="O63">
        <v>1906.22489844964</v>
      </c>
      <c r="P63">
        <v>7464.3665139801396</v>
      </c>
      <c r="Q63">
        <v>37734.0825638397</v>
      </c>
      <c r="R63">
        <v>10040.779055311001</v>
      </c>
      <c r="S63">
        <v>17749.155856426602</v>
      </c>
      <c r="T63">
        <v>6154.7768421723704</v>
      </c>
      <c r="U63">
        <v>6314.2088393989297</v>
      </c>
      <c r="V63">
        <v>187.41277561759699</v>
      </c>
      <c r="W63">
        <v>3070.9566340183501</v>
      </c>
      <c r="X63">
        <v>3654.2580954206501</v>
      </c>
      <c r="Y63">
        <v>6876.2858707535297</v>
      </c>
      <c r="Z63">
        <v>38488.415314095299</v>
      </c>
      <c r="AC63">
        <v>246863.369126804</v>
      </c>
      <c r="AD63">
        <v>1051667.56874816</v>
      </c>
      <c r="AE63">
        <v>815755.06756656105</v>
      </c>
      <c r="AF63">
        <v>326091.72830037301</v>
      </c>
      <c r="AG63">
        <v>24157.007022109799</v>
      </c>
      <c r="AH63">
        <v>250928.19449882201</v>
      </c>
      <c r="AI63">
        <v>72526.109985964998</v>
      </c>
      <c r="AJ63">
        <v>161173.18816602399</v>
      </c>
      <c r="AK63">
        <v>250006.582289499</v>
      </c>
      <c r="AL63">
        <v>142124.46273288899</v>
      </c>
      <c r="AM63">
        <v>87506.919147046399</v>
      </c>
      <c r="AN63">
        <v>20409.331440462101</v>
      </c>
      <c r="AO63">
        <v>1735572.48026447</v>
      </c>
      <c r="AP63">
        <v>54397.285887393104</v>
      </c>
      <c r="AQ63">
        <v>129699.26743907901</v>
      </c>
      <c r="AR63">
        <v>1912239.2507956</v>
      </c>
      <c r="AS63">
        <v>1907477.3368273701</v>
      </c>
    </row>
    <row r="64" spans="1:45" x14ac:dyDescent="0.25">
      <c r="A64" s="1">
        <f t="shared" si="0"/>
        <v>42339</v>
      </c>
      <c r="B64" s="6">
        <v>265199.75665772799</v>
      </c>
      <c r="C64" s="6">
        <v>-53030.260660477601</v>
      </c>
      <c r="D64" s="6">
        <v>200403.14993312801</v>
      </c>
      <c r="E64" s="6"/>
      <c r="F64" s="6"/>
      <c r="G64" s="6"/>
      <c r="H64" s="6">
        <v>197899.409866648</v>
      </c>
      <c r="I64" s="6">
        <v>3251.4824380561799</v>
      </c>
      <c r="J64" s="6">
        <v>165886.31989568699</v>
      </c>
      <c r="K64" s="6">
        <v>135964.62318151799</v>
      </c>
      <c r="L64" s="6">
        <v>82355.435236720106</v>
      </c>
      <c r="M64" s="6">
        <v>54542.741132851399</v>
      </c>
      <c r="N64">
        <v>17210.008509493498</v>
      </c>
      <c r="O64">
        <v>1952.6379637156199</v>
      </c>
      <c r="P64">
        <v>7542.7164153775202</v>
      </c>
      <c r="Q64">
        <v>40183.279548650498</v>
      </c>
      <c r="R64">
        <v>10136.170958389601</v>
      </c>
      <c r="S64">
        <v>17687.438176539799</v>
      </c>
      <c r="T64">
        <v>6265.3834783400698</v>
      </c>
      <c r="U64">
        <v>6433.0550397861398</v>
      </c>
      <c r="V64">
        <v>190.03220722822601</v>
      </c>
      <c r="W64">
        <v>3131.53697184054</v>
      </c>
      <c r="X64">
        <v>3658.45931638805</v>
      </c>
      <c r="Y64">
        <v>6933.0896143437103</v>
      </c>
      <c r="Z64">
        <v>37861.826234132503</v>
      </c>
      <c r="AC64">
        <v>250155.662777955</v>
      </c>
      <c r="AD64">
        <v>1063614.6883038301</v>
      </c>
      <c r="AE64">
        <v>821822.894295607</v>
      </c>
      <c r="AF64">
        <v>326699.54979950498</v>
      </c>
      <c r="AG64">
        <v>23648.7635017961</v>
      </c>
      <c r="AH64">
        <v>255184.142519805</v>
      </c>
      <c r="AI64">
        <v>73560.014594030305</v>
      </c>
      <c r="AJ64">
        <v>162265.10674795299</v>
      </c>
      <c r="AK64">
        <v>253272.55399054001</v>
      </c>
      <c r="AL64">
        <v>144098.38466692899</v>
      </c>
      <c r="AM64">
        <v>88541.359307699793</v>
      </c>
      <c r="AN64">
        <v>20411.097024354902</v>
      </c>
      <c r="AO64">
        <v>1738801.1659450601</v>
      </c>
      <c r="AP64">
        <v>50733.842422550697</v>
      </c>
      <c r="AQ64">
        <v>129208.363562208</v>
      </c>
      <c r="AR64">
        <v>1911307.28607064</v>
      </c>
      <c r="AS64">
        <v>1928615.3320729199</v>
      </c>
    </row>
    <row r="65" spans="1:45" x14ac:dyDescent="0.25">
      <c r="A65" s="1">
        <f t="shared" si="0"/>
        <v>42430</v>
      </c>
      <c r="B65" s="6">
        <v>263654.87745513098</v>
      </c>
      <c r="C65" s="6">
        <v>-53456.371554985497</v>
      </c>
      <c r="D65" s="6">
        <v>207918.545612174</v>
      </c>
      <c r="E65" s="6"/>
      <c r="F65" s="6"/>
      <c r="G65" s="6"/>
      <c r="H65" s="6">
        <v>205346.43296823101</v>
      </c>
      <c r="I65" s="6">
        <v>3249.3978813756298</v>
      </c>
      <c r="J65" s="6">
        <v>163190.01576198899</v>
      </c>
      <c r="K65" s="6">
        <v>138767.80856489</v>
      </c>
      <c r="L65" s="6">
        <v>84378.015810918005</v>
      </c>
      <c r="M65" s="6">
        <v>55442.387897466098</v>
      </c>
      <c r="N65">
        <v>17041.275723409399</v>
      </c>
      <c r="O65">
        <v>1991.5297161654</v>
      </c>
      <c r="P65">
        <v>7583.24094958562</v>
      </c>
      <c r="Q65">
        <v>35626.251552254602</v>
      </c>
      <c r="R65">
        <v>10404.565933416899</v>
      </c>
      <c r="S65">
        <v>18155.101883978601</v>
      </c>
      <c r="T65">
        <v>6376.9687047386096</v>
      </c>
      <c r="U65">
        <v>6742.6509826708698</v>
      </c>
      <c r="V65">
        <v>189.165021200681</v>
      </c>
      <c r="W65">
        <v>3481.5147297600702</v>
      </c>
      <c r="X65">
        <v>3838.0488956028398</v>
      </c>
      <c r="Y65">
        <v>7215.8919246451796</v>
      </c>
      <c r="Z65">
        <v>38983.285292918401</v>
      </c>
      <c r="AC65">
        <v>251345.94466752501</v>
      </c>
      <c r="AD65">
        <v>1065769.5288444301</v>
      </c>
      <c r="AE65">
        <v>825210.26466014097</v>
      </c>
      <c r="AF65">
        <v>328599.39051593503</v>
      </c>
      <c r="AG65">
        <v>25492.448593151301</v>
      </c>
      <c r="AH65">
        <v>253426.53581598101</v>
      </c>
      <c r="AI65">
        <v>74541.253270802597</v>
      </c>
      <c r="AJ65">
        <v>162463.12850208199</v>
      </c>
      <c r="AK65">
        <v>253461.89609879299</v>
      </c>
      <c r="AL65">
        <v>143735.613325807</v>
      </c>
      <c r="AM65">
        <v>88942.580589786201</v>
      </c>
      <c r="AN65">
        <v>20879.005214346798</v>
      </c>
      <c r="AO65">
        <v>1751394.3758036599</v>
      </c>
      <c r="AP65">
        <v>51260.103264870202</v>
      </c>
      <c r="AQ65">
        <v>129868.223469647</v>
      </c>
      <c r="AR65">
        <v>1926717.4620214701</v>
      </c>
      <c r="AS65">
        <v>1930883.1251543099</v>
      </c>
    </row>
    <row r="66" spans="1:45" x14ac:dyDescent="0.25">
      <c r="A66" s="1">
        <f t="shared" si="0"/>
        <v>42522</v>
      </c>
      <c r="B66" s="6">
        <v>264385.24511154002</v>
      </c>
      <c r="C66" s="6">
        <v>-53834.677539320597</v>
      </c>
      <c r="D66" s="6">
        <v>230079.92105966801</v>
      </c>
      <c r="E66" s="6"/>
      <c r="F66" s="6"/>
      <c r="G66" s="6"/>
      <c r="H66" s="6">
        <v>227519.81233369399</v>
      </c>
      <c r="I66" s="6">
        <v>3227.2104110024502</v>
      </c>
      <c r="J66" s="6">
        <v>167038.57098262801</v>
      </c>
      <c r="K66" s="6">
        <v>139855.644701218</v>
      </c>
      <c r="L66" s="6">
        <v>84610.012716719604</v>
      </c>
      <c r="M66" s="6">
        <v>56237.468210018</v>
      </c>
      <c r="N66">
        <v>17143.793056583199</v>
      </c>
      <c r="O66">
        <v>2037.3044948996201</v>
      </c>
      <c r="P66">
        <v>7632.1342901854196</v>
      </c>
      <c r="Q66">
        <v>40112.608627538801</v>
      </c>
      <c r="R66">
        <v>10667.660145922</v>
      </c>
      <c r="S66">
        <v>18150.184431851401</v>
      </c>
      <c r="T66">
        <v>6446.1337206978897</v>
      </c>
      <c r="U66">
        <v>6771.1373920508904</v>
      </c>
      <c r="V66">
        <v>193.39873037388199</v>
      </c>
      <c r="W66">
        <v>3382.1439069738099</v>
      </c>
      <c r="X66">
        <v>3753.6805480702101</v>
      </c>
      <c r="Y66">
        <v>7105.0384620840696</v>
      </c>
      <c r="Z66">
        <v>39445.166546300701</v>
      </c>
      <c r="AC66">
        <v>266560.006606885</v>
      </c>
      <c r="AD66">
        <v>1070758.7431719601</v>
      </c>
      <c r="AE66">
        <v>830060.89959879301</v>
      </c>
      <c r="AF66">
        <v>329000.89821945899</v>
      </c>
      <c r="AG66">
        <v>25321.750679858302</v>
      </c>
      <c r="AH66">
        <v>256081.48766691299</v>
      </c>
      <c r="AI66">
        <v>75326.827464973496</v>
      </c>
      <c r="AJ66">
        <v>163741.50769399901</v>
      </c>
      <c r="AK66">
        <v>254479.276915756</v>
      </c>
      <c r="AL66">
        <v>144208.674436342</v>
      </c>
      <c r="AM66">
        <v>89411.044913946404</v>
      </c>
      <c r="AN66">
        <v>21049.549494110099</v>
      </c>
      <c r="AO66">
        <v>1797919.7212320699</v>
      </c>
      <c r="AP66">
        <v>47140.109702355498</v>
      </c>
      <c r="AQ66">
        <v>130069.395797987</v>
      </c>
      <c r="AR66">
        <v>1971399.1114888701</v>
      </c>
      <c r="AS66">
        <v>1950882.3059423901</v>
      </c>
    </row>
    <row r="67" spans="1:45" x14ac:dyDescent="0.25">
      <c r="A67" s="1">
        <f t="shared" si="0"/>
        <v>42614</v>
      </c>
      <c r="B67" s="6">
        <v>261752.85685182601</v>
      </c>
      <c r="C67" s="6">
        <v>-54198.857035713998</v>
      </c>
      <c r="D67" s="6">
        <v>240207.32860193501</v>
      </c>
      <c r="E67" s="6"/>
      <c r="F67" s="6"/>
      <c r="G67" s="6"/>
      <c r="H67" s="6">
        <v>237627.14731013699</v>
      </c>
      <c r="I67" s="6">
        <v>3254.1018345544899</v>
      </c>
      <c r="J67" s="6">
        <v>173663.68979566399</v>
      </c>
      <c r="K67" s="6">
        <v>141292.77685694501</v>
      </c>
      <c r="L67" s="6">
        <v>85263.149664830096</v>
      </c>
      <c r="M67" s="6">
        <v>57087.328952792697</v>
      </c>
      <c r="N67">
        <v>17033.904162320399</v>
      </c>
      <c r="O67">
        <v>2056.0022021416898</v>
      </c>
      <c r="P67">
        <v>7736.7998144551102</v>
      </c>
      <c r="Q67">
        <v>43345.587528494201</v>
      </c>
      <c r="R67">
        <v>10944.960431109601</v>
      </c>
      <c r="S67">
        <v>18052.387458311601</v>
      </c>
      <c r="T67">
        <v>6506.0358834764002</v>
      </c>
      <c r="U67">
        <v>6971.9485958405803</v>
      </c>
      <c r="V67">
        <v>203.779159298205</v>
      </c>
      <c r="W67">
        <v>3288.36840541839</v>
      </c>
      <c r="X67">
        <v>3721.21801022005</v>
      </c>
      <c r="Y67">
        <v>7206.1684241638104</v>
      </c>
      <c r="Z67">
        <v>39573.451160942401</v>
      </c>
      <c r="AC67">
        <v>261161.87016754501</v>
      </c>
      <c r="AD67">
        <v>1085058.7166717199</v>
      </c>
      <c r="AE67">
        <v>839111.46387013595</v>
      </c>
      <c r="AF67">
        <v>332619.916597542</v>
      </c>
      <c r="AG67">
        <v>24262.2292460434</v>
      </c>
      <c r="AH67">
        <v>261174.07497080599</v>
      </c>
      <c r="AI67">
        <v>75816.884221165703</v>
      </c>
      <c r="AJ67">
        <v>164914.42133396599</v>
      </c>
      <c r="AK67">
        <v>258305.244997873</v>
      </c>
      <c r="AL67">
        <v>146814.95495575899</v>
      </c>
      <c r="AM67">
        <v>90390.942327172204</v>
      </c>
      <c r="AN67">
        <v>21179.352480946101</v>
      </c>
      <c r="AO67">
        <v>1819863.91263984</v>
      </c>
      <c r="AP67">
        <v>42126.855086793199</v>
      </c>
      <c r="AQ67">
        <v>131405.876169872</v>
      </c>
      <c r="AR67">
        <v>1990293.6230370901</v>
      </c>
      <c r="AS67">
        <v>1966852.3500648099</v>
      </c>
    </row>
    <row r="68" spans="1:45" x14ac:dyDescent="0.25">
      <c r="A68" s="1">
        <f t="shared" si="0"/>
        <v>42705</v>
      </c>
      <c r="B68" s="6">
        <v>251555.88496290299</v>
      </c>
      <c r="C68" s="6">
        <v>-54488.7467996583</v>
      </c>
      <c r="D68" s="6">
        <v>250176.88564351699</v>
      </c>
      <c r="E68" s="6"/>
      <c r="F68" s="6"/>
      <c r="G68" s="6"/>
      <c r="H68" s="6">
        <v>247579.37638677299</v>
      </c>
      <c r="I68" s="6">
        <v>3309.7092656845098</v>
      </c>
      <c r="J68" s="6">
        <v>175098.906141452</v>
      </c>
      <c r="K68" s="6">
        <v>143599.603583452</v>
      </c>
      <c r="L68" s="6">
        <v>86718.8623325886</v>
      </c>
      <c r="M68" s="6">
        <v>57940.654473640403</v>
      </c>
      <c r="N68">
        <v>17605.349947999599</v>
      </c>
      <c r="O68">
        <v>2078.6697785492502</v>
      </c>
      <c r="P68">
        <v>7953.9068297474996</v>
      </c>
      <c r="Q68">
        <v>43140.642939053701</v>
      </c>
      <c r="R68">
        <v>11253.955066459301</v>
      </c>
      <c r="S68">
        <v>17996.585880737301</v>
      </c>
      <c r="T68">
        <v>6554.2999177105703</v>
      </c>
      <c r="U68">
        <v>7066.6440232922696</v>
      </c>
      <c r="V68">
        <v>205.30548885549101</v>
      </c>
      <c r="W68">
        <v>3395.6604203809002</v>
      </c>
      <c r="X68">
        <v>3783.2317590206599</v>
      </c>
      <c r="Y68">
        <v>7154.8652956778196</v>
      </c>
      <c r="Z68">
        <v>40814.267958509197</v>
      </c>
      <c r="AC68">
        <v>265798.98950147</v>
      </c>
      <c r="AD68">
        <v>1090918.89510036</v>
      </c>
      <c r="AE68">
        <v>846312.68809696101</v>
      </c>
      <c r="AF68">
        <v>333203.60449959402</v>
      </c>
      <c r="AG68">
        <v>24828.797250938998</v>
      </c>
      <c r="AH68">
        <v>264541.65477507497</v>
      </c>
      <c r="AI68">
        <v>75938.9302622705</v>
      </c>
      <c r="AJ68">
        <v>166454.49688985199</v>
      </c>
      <c r="AK68">
        <v>257877.35536136801</v>
      </c>
      <c r="AL68">
        <v>146295.207921475</v>
      </c>
      <c r="AM68">
        <v>90269.125059132406</v>
      </c>
      <c r="AN68">
        <v>21224.1395103045</v>
      </c>
      <c r="AO68">
        <v>1835381.06529395</v>
      </c>
      <c r="AP68">
        <v>40912.026112542299</v>
      </c>
      <c r="AQ68">
        <v>131859.611467215</v>
      </c>
      <c r="AR68">
        <v>2004125.8005317401</v>
      </c>
      <c r="AS68">
        <v>1969228.5955155899</v>
      </c>
    </row>
    <row r="69" spans="1:45" x14ac:dyDescent="0.25">
      <c r="A69" s="1">
        <f t="shared" si="0"/>
        <v>42795</v>
      </c>
      <c r="B69" s="6">
        <v>252951.33380676</v>
      </c>
      <c r="C69" s="6">
        <v>-54641.212604754699</v>
      </c>
      <c r="D69" s="6">
        <v>227028.59956222301</v>
      </c>
      <c r="E69" s="6"/>
      <c r="F69" s="6"/>
      <c r="G69" s="6"/>
      <c r="H69" s="6">
        <v>224371.47806591701</v>
      </c>
      <c r="I69" s="6">
        <v>3215.5315893009802</v>
      </c>
      <c r="J69" s="6">
        <v>183950.950219897</v>
      </c>
      <c r="K69" s="6">
        <v>147169.69621646599</v>
      </c>
      <c r="L69" s="6">
        <v>88493.456365687802</v>
      </c>
      <c r="M69" s="6">
        <v>59833.809381741703</v>
      </c>
      <c r="N69">
        <v>17967.744586672201</v>
      </c>
      <c r="O69">
        <v>2091.53733528166</v>
      </c>
      <c r="P69">
        <v>8252.8652804715093</v>
      </c>
      <c r="Q69">
        <v>46090.548838210801</v>
      </c>
      <c r="R69">
        <v>11546.3138343398</v>
      </c>
      <c r="S69">
        <v>18175.3780384075</v>
      </c>
      <c r="T69">
        <v>6591.94038090706</v>
      </c>
      <c r="U69">
        <v>7328.5544269047896</v>
      </c>
      <c r="V69">
        <v>211.25795928768801</v>
      </c>
      <c r="W69">
        <v>3301.1921192693699</v>
      </c>
      <c r="X69">
        <v>3800.1283970198901</v>
      </c>
      <c r="Y69">
        <v>7380.0927289522397</v>
      </c>
      <c r="Z69">
        <v>41419.375891410498</v>
      </c>
      <c r="AC69">
        <v>273075.70029990998</v>
      </c>
      <c r="AD69">
        <v>1091794.0869342701</v>
      </c>
      <c r="AE69">
        <v>851986.51523578598</v>
      </c>
      <c r="AF69">
        <v>336564.20374256402</v>
      </c>
      <c r="AG69">
        <v>24298.762664441099</v>
      </c>
      <c r="AH69">
        <v>266108.24261906301</v>
      </c>
      <c r="AI69">
        <v>75611.861366261102</v>
      </c>
      <c r="AJ69">
        <v>167659.268411984</v>
      </c>
      <c r="AK69">
        <v>255735.941559067</v>
      </c>
      <c r="AL69">
        <v>144649.688972387</v>
      </c>
      <c r="AM69">
        <v>89661.171672733501</v>
      </c>
      <c r="AN69">
        <v>21779.473276779201</v>
      </c>
      <c r="AO69">
        <v>1824496.7480581501</v>
      </c>
      <c r="AP69">
        <v>41187.168663658304</v>
      </c>
      <c r="AQ69">
        <v>132506.62115957099</v>
      </c>
      <c r="AR69">
        <v>1995175.82386486</v>
      </c>
      <c r="AS69">
        <v>1988746.3524380899</v>
      </c>
    </row>
    <row r="70" spans="1:45" x14ac:dyDescent="0.25">
      <c r="A70" s="1">
        <f t="shared" si="0"/>
        <v>42887</v>
      </c>
      <c r="B70" s="6">
        <v>250968.63186676599</v>
      </c>
      <c r="C70" s="6">
        <v>-54913.1837148759</v>
      </c>
      <c r="D70" s="6">
        <v>222061.04621169201</v>
      </c>
      <c r="E70" s="6"/>
      <c r="F70" s="6"/>
      <c r="G70" s="6"/>
      <c r="H70" s="6">
        <v>219450.651130452</v>
      </c>
      <c r="I70" s="6">
        <v>3218.4434284256599</v>
      </c>
      <c r="J70" s="6">
        <v>183646.94459195901</v>
      </c>
      <c r="K70" s="6">
        <v>149143.499013694</v>
      </c>
      <c r="L70" s="6">
        <v>89095.192615727996</v>
      </c>
      <c r="M70" s="6">
        <v>61011.2337276791</v>
      </c>
      <c r="N70">
        <v>18237.973671991698</v>
      </c>
      <c r="O70">
        <v>2082.6966942395302</v>
      </c>
      <c r="P70">
        <v>8432.5330393655695</v>
      </c>
      <c r="Q70">
        <v>46262.975817999999</v>
      </c>
      <c r="R70">
        <v>11767.466708940799</v>
      </c>
      <c r="S70">
        <v>18582.627787808498</v>
      </c>
      <c r="T70">
        <v>6582.5355887360402</v>
      </c>
      <c r="U70">
        <v>7203.2215126924502</v>
      </c>
      <c r="V70">
        <v>225.50313046699199</v>
      </c>
      <c r="W70">
        <v>3386.3929492915299</v>
      </c>
      <c r="X70">
        <v>3853.6804566812398</v>
      </c>
      <c r="Y70">
        <v>7106.6988353309098</v>
      </c>
      <c r="Z70">
        <v>42720.848213445497</v>
      </c>
      <c r="AC70">
        <v>282175.72094766499</v>
      </c>
      <c r="AD70">
        <v>1097550.21807523</v>
      </c>
      <c r="AE70">
        <v>857738.76173828298</v>
      </c>
      <c r="AF70">
        <v>339166.95892934798</v>
      </c>
      <c r="AG70">
        <v>24093.009624279599</v>
      </c>
      <c r="AH70">
        <v>268413.69595519197</v>
      </c>
      <c r="AI70">
        <v>75617.006735069095</v>
      </c>
      <c r="AJ70">
        <v>169304.457177317</v>
      </c>
      <c r="AK70">
        <v>256016.71420967</v>
      </c>
      <c r="AL70">
        <v>144783.539467631</v>
      </c>
      <c r="AM70">
        <v>89743.671010901002</v>
      </c>
      <c r="AN70">
        <v>22188.021154820999</v>
      </c>
      <c r="AO70">
        <v>1836405.4104659699</v>
      </c>
      <c r="AP70">
        <v>40205.462335355202</v>
      </c>
      <c r="AQ70">
        <v>130993.077094055</v>
      </c>
      <c r="AR70">
        <v>2005284.70175359</v>
      </c>
      <c r="AS70">
        <v>1996294.1762965999</v>
      </c>
    </row>
    <row r="71" spans="1:45" x14ac:dyDescent="0.25">
      <c r="A71" s="1">
        <f t="shared" ref="A71:A90" si="1">EDATE(A70,3)</f>
        <v>42979</v>
      </c>
      <c r="B71" s="6">
        <v>249824.618340874</v>
      </c>
      <c r="C71" s="6">
        <v>-55308.848445710799</v>
      </c>
      <c r="D71" s="6">
        <v>210586.792493958</v>
      </c>
      <c r="E71" s="6"/>
      <c r="F71" s="6"/>
      <c r="G71" s="6"/>
      <c r="H71" s="6">
        <v>208108.152242332</v>
      </c>
      <c r="I71" s="6">
        <v>3270.9830082478802</v>
      </c>
      <c r="J71" s="6">
        <v>188089.204649144</v>
      </c>
      <c r="K71" s="6">
        <v>150016.97392841001</v>
      </c>
      <c r="L71" s="6">
        <v>89717.7875723631</v>
      </c>
      <c r="M71" s="6">
        <v>61476.7533501875</v>
      </c>
      <c r="N71">
        <v>18498.095519251601</v>
      </c>
      <c r="O71">
        <v>2092.1218447829101</v>
      </c>
      <c r="P71">
        <v>8420.46391147551</v>
      </c>
      <c r="Q71">
        <v>48579.317349021003</v>
      </c>
      <c r="R71">
        <v>11929.234842453499</v>
      </c>
      <c r="S71">
        <v>18253.853775830801</v>
      </c>
      <c r="T71">
        <v>6564.5036189378097</v>
      </c>
      <c r="U71">
        <v>7347.1439784124004</v>
      </c>
      <c r="V71">
        <v>236.356312897615</v>
      </c>
      <c r="W71">
        <v>3344.26795182763</v>
      </c>
      <c r="X71">
        <v>3910.0858892817801</v>
      </c>
      <c r="Y71">
        <v>7308.4230156113999</v>
      </c>
      <c r="Z71">
        <v>43628.3382018013</v>
      </c>
      <c r="AC71">
        <v>285149.325053579</v>
      </c>
      <c r="AD71">
        <v>1103933.29843913</v>
      </c>
      <c r="AE71">
        <v>860430.90782900702</v>
      </c>
      <c r="AF71">
        <v>341920.59662809601</v>
      </c>
      <c r="AG71">
        <v>23635.040387282799</v>
      </c>
      <c r="AH71">
        <v>269188.93660728203</v>
      </c>
      <c r="AI71">
        <v>76013.331567821006</v>
      </c>
      <c r="AJ71">
        <v>170876.440559537</v>
      </c>
      <c r="AK71">
        <v>257851.54456685699</v>
      </c>
      <c r="AL71">
        <v>145865.70383612401</v>
      </c>
      <c r="AM71">
        <v>90224.690920948007</v>
      </c>
      <c r="AN71">
        <v>22393.7014960573</v>
      </c>
      <c r="AO71">
        <v>1835964.7633298801</v>
      </c>
      <c r="AP71">
        <v>42776.717949498197</v>
      </c>
      <c r="AQ71">
        <v>132126.455058127</v>
      </c>
      <c r="AR71">
        <v>2007321.74580685</v>
      </c>
      <c r="AS71">
        <v>2019250.91989637</v>
      </c>
    </row>
    <row r="72" spans="1:45" x14ac:dyDescent="0.25">
      <c r="A72" s="1">
        <f t="shared" si="1"/>
        <v>43070</v>
      </c>
      <c r="B72" s="6">
        <v>245678.16409346799</v>
      </c>
      <c r="C72" s="6">
        <v>-55878.376169698902</v>
      </c>
      <c r="D72" s="6">
        <v>206022.271890273</v>
      </c>
      <c r="E72" s="6"/>
      <c r="F72" s="6"/>
      <c r="G72" s="6"/>
      <c r="H72" s="6">
        <v>203356.075506105</v>
      </c>
      <c r="I72" s="6">
        <v>3374.8773853511202</v>
      </c>
      <c r="J72" s="6">
        <v>192218.34378481901</v>
      </c>
      <c r="K72" s="6">
        <v>150564.771913434</v>
      </c>
      <c r="L72" s="6">
        <v>89916.099606713193</v>
      </c>
      <c r="M72" s="6">
        <v>61839.490845978697</v>
      </c>
      <c r="N72">
        <v>18405.373488102599</v>
      </c>
      <c r="O72">
        <v>2076.36837668318</v>
      </c>
      <c r="P72">
        <v>8197.5499269050106</v>
      </c>
      <c r="Q72">
        <v>51416.193156845999</v>
      </c>
      <c r="R72">
        <v>12029.910556458701</v>
      </c>
      <c r="S72">
        <v>18446.144691763999</v>
      </c>
      <c r="T72">
        <v>6522.2878245826096</v>
      </c>
      <c r="U72">
        <v>7285.2223401789197</v>
      </c>
      <c r="V72">
        <v>249.73291671729001</v>
      </c>
      <c r="W72">
        <v>3618.6096149127502</v>
      </c>
      <c r="X72">
        <v>4053.51911767908</v>
      </c>
      <c r="Y72">
        <v>7255.3385878663903</v>
      </c>
      <c r="Z72">
        <v>44350.983404781597</v>
      </c>
      <c r="AC72">
        <v>289796.813733063</v>
      </c>
      <c r="AD72">
        <v>1111870.1944293999</v>
      </c>
      <c r="AE72">
        <v>873219.15850547096</v>
      </c>
      <c r="AF72">
        <v>346768.24454784702</v>
      </c>
      <c r="AG72">
        <v>24432.9456608445</v>
      </c>
      <c r="AH72">
        <v>270890.76496138802</v>
      </c>
      <c r="AI72">
        <v>76878.547541472406</v>
      </c>
      <c r="AJ72">
        <v>172777.556658432</v>
      </c>
      <c r="AK72">
        <v>257541.93445097501</v>
      </c>
      <c r="AL72">
        <v>145285.777226012</v>
      </c>
      <c r="AM72">
        <v>90360.793467828902</v>
      </c>
      <c r="AN72">
        <v>22495.6560441361</v>
      </c>
      <c r="AO72">
        <v>1841175.3417618901</v>
      </c>
      <c r="AP72">
        <v>34536.796816962997</v>
      </c>
      <c r="AQ72">
        <v>133734.810459762</v>
      </c>
      <c r="AR72">
        <v>2005845.22838315</v>
      </c>
      <c r="AS72">
        <v>2019301.36277098</v>
      </c>
    </row>
    <row r="73" spans="1:45" x14ac:dyDescent="0.25">
      <c r="A73" s="1">
        <f t="shared" si="1"/>
        <v>43160</v>
      </c>
      <c r="B73" s="6">
        <v>254828.50673272199</v>
      </c>
      <c r="C73" s="6">
        <v>-56555.172106368998</v>
      </c>
      <c r="D73" s="6">
        <v>208910.17965250899</v>
      </c>
      <c r="E73" s="6"/>
      <c r="F73" s="6"/>
      <c r="G73" s="6"/>
      <c r="H73" s="6">
        <v>205950.777821161</v>
      </c>
      <c r="I73" s="6">
        <v>3681.4941623002901</v>
      </c>
      <c r="J73" s="6">
        <v>196320.515373581</v>
      </c>
      <c r="K73" s="6">
        <v>149870.20774092601</v>
      </c>
      <c r="L73" s="6">
        <v>89330.110955247306</v>
      </c>
      <c r="M73" s="6">
        <v>61708.7421796813</v>
      </c>
      <c r="N73">
        <v>18076.0591773407</v>
      </c>
      <c r="O73">
        <v>2110.8026681347201</v>
      </c>
      <c r="P73">
        <v>8066.8006429055404</v>
      </c>
      <c r="Q73">
        <v>54799.270753121898</v>
      </c>
      <c r="R73">
        <v>12066.258303237601</v>
      </c>
      <c r="S73">
        <v>18393.885042408499</v>
      </c>
      <c r="T73">
        <v>6426.4897747345703</v>
      </c>
      <c r="U73">
        <v>7268.6446973565598</v>
      </c>
      <c r="V73">
        <v>248.64552788813401</v>
      </c>
      <c r="W73">
        <v>3371.3800729135201</v>
      </c>
      <c r="X73">
        <v>4050.75112048553</v>
      </c>
      <c r="Y73">
        <v>7375.4696504557996</v>
      </c>
      <c r="Z73">
        <v>44544.062107959799</v>
      </c>
      <c r="AC73">
        <v>298089.40788467502</v>
      </c>
      <c r="AD73">
        <v>1126577.4457702001</v>
      </c>
      <c r="AE73">
        <v>883274.30964767304</v>
      </c>
      <c r="AF73">
        <v>348282.89009229199</v>
      </c>
      <c r="AG73">
        <v>24551.328849931899</v>
      </c>
      <c r="AH73">
        <v>276699.54896130803</v>
      </c>
      <c r="AI73">
        <v>78046.693849550706</v>
      </c>
      <c r="AJ73">
        <v>174176.36831280799</v>
      </c>
      <c r="AK73">
        <v>261751.253402556</v>
      </c>
      <c r="AL73">
        <v>147894.056340184</v>
      </c>
      <c r="AM73">
        <v>91591.790591162993</v>
      </c>
      <c r="AN73">
        <v>22834.771593921101</v>
      </c>
      <c r="AO73">
        <v>1871822.0648706399</v>
      </c>
      <c r="AP73">
        <v>34307.847009722202</v>
      </c>
      <c r="AQ73">
        <v>129570.037330222</v>
      </c>
      <c r="AR73">
        <v>2034770.7156149</v>
      </c>
      <c r="AS73">
        <v>2056676.04492519</v>
      </c>
    </row>
    <row r="74" spans="1:45" x14ac:dyDescent="0.25">
      <c r="A74" s="1">
        <f t="shared" si="1"/>
        <v>43252</v>
      </c>
      <c r="B74" s="6">
        <v>259426.68311244599</v>
      </c>
      <c r="C74" s="6">
        <v>-57064.730707143499</v>
      </c>
      <c r="D74" s="6">
        <v>185693.82644830199</v>
      </c>
      <c r="E74" s="6"/>
      <c r="F74" s="6"/>
      <c r="G74" s="6"/>
      <c r="H74" s="6">
        <v>182691.35307354201</v>
      </c>
      <c r="I74" s="6">
        <v>3840.13559551557</v>
      </c>
      <c r="J74" s="6">
        <v>188840.34998956599</v>
      </c>
      <c r="K74" s="6">
        <v>150897.05860462299</v>
      </c>
      <c r="L74" s="6">
        <v>89409.681803274594</v>
      </c>
      <c r="M74" s="6">
        <v>62358.970006929398</v>
      </c>
      <c r="N74">
        <v>18157.839620901999</v>
      </c>
      <c r="O74">
        <v>2131.1270584661402</v>
      </c>
      <c r="P74">
        <v>7984.0469623023901</v>
      </c>
      <c r="Q74">
        <v>48268.569134330799</v>
      </c>
      <c r="R74">
        <v>12112.0286385812</v>
      </c>
      <c r="S74">
        <v>18232.5600906254</v>
      </c>
      <c r="T74">
        <v>6471.1985589706901</v>
      </c>
      <c r="U74">
        <v>7288.2870484165396</v>
      </c>
      <c r="V74">
        <v>238.40782082931099</v>
      </c>
      <c r="W74">
        <v>3552.0005105394298</v>
      </c>
      <c r="X74">
        <v>4126.3874309889397</v>
      </c>
      <c r="Y74">
        <v>7386.9573809977101</v>
      </c>
      <c r="Z74">
        <v>44511.6476650486</v>
      </c>
      <c r="AC74">
        <v>305452.99031326099</v>
      </c>
      <c r="AD74">
        <v>1142974.5161214401</v>
      </c>
      <c r="AE74">
        <v>895715.22554555396</v>
      </c>
      <c r="AF74">
        <v>350702.73948447901</v>
      </c>
      <c r="AG74">
        <v>27838.763777144999</v>
      </c>
      <c r="AH74">
        <v>281307.36275606998</v>
      </c>
      <c r="AI74">
        <v>79013.2266404908</v>
      </c>
      <c r="AJ74">
        <v>175567.19032378201</v>
      </c>
      <c r="AK74">
        <v>264857.799877671</v>
      </c>
      <c r="AL74">
        <v>149939.827521928</v>
      </c>
      <c r="AM74">
        <v>92614.895433950005</v>
      </c>
      <c r="AN74">
        <v>23219.1692165811</v>
      </c>
      <c r="AO74">
        <v>1875040.86579657</v>
      </c>
      <c r="AP74">
        <v>30561.304878623399</v>
      </c>
      <c r="AQ74">
        <v>132689.762384239</v>
      </c>
      <c r="AR74">
        <v>2038659.39376506</v>
      </c>
      <c r="AS74">
        <v>2074399.7129442899</v>
      </c>
    </row>
    <row r="75" spans="1:45" x14ac:dyDescent="0.25">
      <c r="A75" s="1">
        <f t="shared" si="1"/>
        <v>43344</v>
      </c>
      <c r="B75" s="6">
        <v>261099.42800562101</v>
      </c>
      <c r="C75" s="6">
        <v>-57547.479843719702</v>
      </c>
      <c r="D75" s="6">
        <v>188594.812377275</v>
      </c>
      <c r="E75" s="6"/>
      <c r="F75" s="6"/>
      <c r="G75" s="6"/>
      <c r="H75" s="6">
        <v>185572.18152329899</v>
      </c>
      <c r="I75" s="6">
        <v>3925.5285184300301</v>
      </c>
      <c r="J75" s="6">
        <v>185091.939537078</v>
      </c>
      <c r="K75" s="6">
        <v>153672.52699051399</v>
      </c>
      <c r="L75" s="6">
        <v>90506.330327453004</v>
      </c>
      <c r="M75" s="6">
        <v>64365.623655378302</v>
      </c>
      <c r="N75">
        <v>18622.823903566201</v>
      </c>
      <c r="O75">
        <v>2109.6069934376301</v>
      </c>
      <c r="P75">
        <v>7945.0728878657901</v>
      </c>
      <c r="Q75">
        <v>44876.774571944399</v>
      </c>
      <c r="R75">
        <v>12164.844482246501</v>
      </c>
      <c r="S75">
        <v>18629.917518561298</v>
      </c>
      <c r="T75">
        <v>6615.2056437415404</v>
      </c>
      <c r="U75">
        <v>7359.0185017967797</v>
      </c>
      <c r="V75">
        <v>239.62461874340801</v>
      </c>
      <c r="W75">
        <v>3593.18806552658</v>
      </c>
      <c r="X75">
        <v>4153.5900792406901</v>
      </c>
      <c r="Y75">
        <v>7367.9227241465896</v>
      </c>
      <c r="Z75">
        <v>44294.283388949501</v>
      </c>
      <c r="AC75">
        <v>308380.17220742599</v>
      </c>
      <c r="AD75">
        <v>1137157.7546455599</v>
      </c>
      <c r="AE75">
        <v>885857.96458223904</v>
      </c>
      <c r="AF75">
        <v>351576.36684724002</v>
      </c>
      <c r="AG75">
        <v>25232.1834858857</v>
      </c>
      <c r="AH75">
        <v>276402.23765292199</v>
      </c>
      <c r="AI75">
        <v>80016.748422925695</v>
      </c>
      <c r="AJ75">
        <v>176360.656727119</v>
      </c>
      <c r="AK75">
        <v>265771.71007254202</v>
      </c>
      <c r="AL75">
        <v>150165.65638988299</v>
      </c>
      <c r="AM75">
        <v>92994.164024682294</v>
      </c>
      <c r="AN75">
        <v>23339.144114062499</v>
      </c>
      <c r="AO75">
        <v>1867007.52014804</v>
      </c>
      <c r="AP75">
        <v>37385.950689127298</v>
      </c>
      <c r="AQ75">
        <v>133250.324068802</v>
      </c>
      <c r="AR75">
        <v>2033341.73959741</v>
      </c>
      <c r="AS75">
        <v>2078247.2762511801</v>
      </c>
    </row>
    <row r="76" spans="1:45" x14ac:dyDescent="0.25">
      <c r="A76" s="1">
        <f t="shared" si="1"/>
        <v>43435</v>
      </c>
      <c r="B76" s="6">
        <v>257148.34158252401</v>
      </c>
      <c r="C76" s="6">
        <v>-57950.034486322598</v>
      </c>
      <c r="D76" s="6">
        <v>177623.61745763401</v>
      </c>
      <c r="E76" s="6"/>
      <c r="F76" s="6"/>
      <c r="G76" s="6"/>
      <c r="H76" s="6">
        <v>174699.93164151799</v>
      </c>
      <c r="I76" s="6">
        <v>3928.93227439369</v>
      </c>
      <c r="J76" s="6">
        <v>196891.66812931199</v>
      </c>
      <c r="K76" s="6">
        <v>154120.3156151</v>
      </c>
      <c r="L76" s="6">
        <v>91821.369214213206</v>
      </c>
      <c r="M76" s="6">
        <v>63664.081785804199</v>
      </c>
      <c r="N76">
        <v>19100.851391950899</v>
      </c>
      <c r="O76">
        <v>2109.5200161489402</v>
      </c>
      <c r="P76">
        <v>8069.9394017253298</v>
      </c>
      <c r="Q76">
        <v>52666.5674691104</v>
      </c>
      <c r="R76">
        <v>12242.616586153699</v>
      </c>
      <c r="S76">
        <v>18901.621584570301</v>
      </c>
      <c r="T76">
        <v>6888.6174088334301</v>
      </c>
      <c r="U76">
        <v>7645.8501846273803</v>
      </c>
      <c r="V76">
        <v>250.733138049747</v>
      </c>
      <c r="W76">
        <v>3328.05529692556</v>
      </c>
      <c r="X76">
        <v>4075.5051637673801</v>
      </c>
      <c r="Y76">
        <v>7463.6787395597103</v>
      </c>
      <c r="Z76">
        <v>45092.389379770102</v>
      </c>
      <c r="AC76">
        <v>306029.99956025602</v>
      </c>
      <c r="AD76">
        <v>1141567.9019996801</v>
      </c>
      <c r="AE76">
        <v>895682.91168374103</v>
      </c>
      <c r="AF76">
        <v>350995.22903093498</v>
      </c>
      <c r="AG76">
        <v>25071.959498741198</v>
      </c>
      <c r="AH76">
        <v>278564.39306720201</v>
      </c>
      <c r="AI76">
        <v>80959.502919351493</v>
      </c>
      <c r="AJ76">
        <v>176769.44627461501</v>
      </c>
      <c r="AK76">
        <v>263283.00590693002</v>
      </c>
      <c r="AL76">
        <v>148115.715849609</v>
      </c>
      <c r="AM76">
        <v>92545.722093445598</v>
      </c>
      <c r="AN76">
        <v>23440.031860962699</v>
      </c>
      <c r="AO76">
        <v>1859503.60841408</v>
      </c>
      <c r="AP76">
        <v>30888.4967693529</v>
      </c>
      <c r="AQ76">
        <v>133163.35492401401</v>
      </c>
      <c r="AR76">
        <v>2020746.30351519</v>
      </c>
      <c r="AS76">
        <v>2076485.19707992</v>
      </c>
    </row>
    <row r="77" spans="1:45" x14ac:dyDescent="0.25">
      <c r="A77" s="1">
        <f t="shared" si="1"/>
        <v>43525</v>
      </c>
      <c r="B77" s="6">
        <v>261808.304771272</v>
      </c>
      <c r="C77" s="6">
        <v>-58501.318410553002</v>
      </c>
      <c r="D77" s="6">
        <v>192992.537410691</v>
      </c>
      <c r="E77" s="6"/>
      <c r="F77" s="6"/>
      <c r="G77" s="6"/>
      <c r="H77" s="6">
        <v>189993.04097773501</v>
      </c>
      <c r="I77" s="6">
        <v>3853.0417937092002</v>
      </c>
      <c r="J77" s="6">
        <v>189244.88483637699</v>
      </c>
      <c r="K77" s="6">
        <v>156832.54166062799</v>
      </c>
      <c r="L77" s="6">
        <v>94677.245347219403</v>
      </c>
      <c r="M77" s="6">
        <v>63325.758500523501</v>
      </c>
      <c r="N77">
        <v>19768.429724264999</v>
      </c>
      <c r="O77">
        <v>2213.5876475248001</v>
      </c>
      <c r="P77">
        <v>8358.9394946256998</v>
      </c>
      <c r="Q77">
        <v>44231.130254665302</v>
      </c>
      <c r="R77">
        <v>12419.834244924101</v>
      </c>
      <c r="S77">
        <v>19094.079209449599</v>
      </c>
      <c r="T77">
        <v>7236.0420832600003</v>
      </c>
      <c r="U77">
        <v>7986.0335164978796</v>
      </c>
      <c r="V77">
        <v>284.01677343915401</v>
      </c>
      <c r="W77">
        <v>3593.1063016775502</v>
      </c>
      <c r="X77">
        <v>4229.2977781070704</v>
      </c>
      <c r="Y77">
        <v>7521.39454445509</v>
      </c>
      <c r="Z77">
        <v>46249.868694128301</v>
      </c>
      <c r="AC77">
        <v>310175.69549020397</v>
      </c>
      <c r="AD77">
        <v>1159146.1817716099</v>
      </c>
      <c r="AE77">
        <v>915557.67348057998</v>
      </c>
      <c r="AF77">
        <v>356313.04188782099</v>
      </c>
      <c r="AG77">
        <v>28162.577471211302</v>
      </c>
      <c r="AH77">
        <v>287994.81058272498</v>
      </c>
      <c r="AI77">
        <v>81982.851833237204</v>
      </c>
      <c r="AJ77">
        <v>177439.399278864</v>
      </c>
      <c r="AK77">
        <v>265893.02818054601</v>
      </c>
      <c r="AL77">
        <v>149648.83809839599</v>
      </c>
      <c r="AM77">
        <v>93217.385217990406</v>
      </c>
      <c r="AN77">
        <v>23731.627652195199</v>
      </c>
      <c r="AO77">
        <v>1897647.18605183</v>
      </c>
      <c r="AP77">
        <v>36125.523138189397</v>
      </c>
      <c r="AQ77">
        <v>132998.593346557</v>
      </c>
      <c r="AR77">
        <v>2064681.9253865399</v>
      </c>
      <c r="AS77">
        <v>2115857.1806545299</v>
      </c>
    </row>
    <row r="78" spans="1:45" x14ac:dyDescent="0.25">
      <c r="A78" s="1">
        <f t="shared" si="1"/>
        <v>43617</v>
      </c>
      <c r="B78" s="6">
        <v>265448.86454778397</v>
      </c>
      <c r="C78" s="6">
        <v>-58907.208140447197</v>
      </c>
      <c r="D78" s="6">
        <v>159305.93803714399</v>
      </c>
      <c r="E78" s="6"/>
      <c r="F78" s="6"/>
      <c r="G78" s="6"/>
      <c r="H78" s="6">
        <v>156404.040326919</v>
      </c>
      <c r="I78" s="6">
        <v>3794.7165250942999</v>
      </c>
      <c r="J78" s="6">
        <v>192887.27753034601</v>
      </c>
      <c r="K78" s="6">
        <v>158708.176798606</v>
      </c>
      <c r="L78" s="6">
        <v>95581.948685706695</v>
      </c>
      <c r="M78" s="6">
        <v>63974.199382731502</v>
      </c>
      <c r="N78">
        <v>19877.763094085301</v>
      </c>
      <c r="O78">
        <v>2219.5472148050098</v>
      </c>
      <c r="P78">
        <v>8499.2566956979008</v>
      </c>
      <c r="Q78">
        <v>47202.182381220897</v>
      </c>
      <c r="R78">
        <v>12518.5463302073</v>
      </c>
      <c r="S78">
        <v>19038.634831846099</v>
      </c>
      <c r="T78">
        <v>7380.2169043283502</v>
      </c>
      <c r="U78">
        <v>8187.8819242085601</v>
      </c>
      <c r="V78">
        <v>297.88431031688299</v>
      </c>
      <c r="W78">
        <v>3770.0676506231598</v>
      </c>
      <c r="X78">
        <v>4326.7289770574898</v>
      </c>
      <c r="Y78">
        <v>7627.6967113016799</v>
      </c>
      <c r="Z78">
        <v>47060.404623993898</v>
      </c>
      <c r="AC78">
        <v>328258.13642926002</v>
      </c>
      <c r="AD78">
        <v>1169833.01502695</v>
      </c>
      <c r="AE78">
        <v>916258.26888873801</v>
      </c>
      <c r="AF78">
        <v>358097.13472705003</v>
      </c>
      <c r="AG78">
        <v>29418.397513985401</v>
      </c>
      <c r="AH78">
        <v>289349.41750667902</v>
      </c>
      <c r="AI78">
        <v>82645.956216438106</v>
      </c>
      <c r="AJ78">
        <v>178228.519999663</v>
      </c>
      <c r="AK78">
        <v>271343.13093611703</v>
      </c>
      <c r="AL78">
        <v>153655.22547744599</v>
      </c>
      <c r="AM78">
        <v>94748.500585554997</v>
      </c>
      <c r="AN78">
        <v>24103.313379383701</v>
      </c>
      <c r="AO78">
        <v>1887734.76105252</v>
      </c>
      <c r="AP78">
        <v>36269.413547112701</v>
      </c>
      <c r="AQ78">
        <v>134282.40228673501</v>
      </c>
      <c r="AR78">
        <v>2055502.5343655101</v>
      </c>
      <c r="AS78">
        <v>2139562.21182612</v>
      </c>
    </row>
    <row r="79" spans="1:45" x14ac:dyDescent="0.25">
      <c r="A79" s="1">
        <f t="shared" si="1"/>
        <v>43709</v>
      </c>
      <c r="B79" s="6">
        <v>267372.40360887302</v>
      </c>
      <c r="C79" s="6">
        <v>-59173.1206150695</v>
      </c>
      <c r="D79" s="6">
        <v>174791.01423412299</v>
      </c>
      <c r="E79" s="6"/>
      <c r="F79" s="6"/>
      <c r="G79" s="6"/>
      <c r="H79" s="6">
        <v>172017.47800104899</v>
      </c>
      <c r="I79" s="6">
        <v>3777.3811275190901</v>
      </c>
      <c r="J79" s="6">
        <v>202466.464056133</v>
      </c>
      <c r="K79" s="6">
        <v>157816.772018405</v>
      </c>
      <c r="L79" s="6">
        <v>94796.222379038896</v>
      </c>
      <c r="M79" s="6">
        <v>64318.5617725251</v>
      </c>
      <c r="N79">
        <v>19249.542872311999</v>
      </c>
      <c r="O79">
        <v>2187.5291717569498</v>
      </c>
      <c r="P79">
        <v>8323.5658964351805</v>
      </c>
      <c r="Q79">
        <v>54515.296245666701</v>
      </c>
      <c r="R79">
        <v>12571.228805827701</v>
      </c>
      <c r="S79">
        <v>18996.883012562601</v>
      </c>
      <c r="T79">
        <v>7259.3799403796702</v>
      </c>
      <c r="U79">
        <v>8104.6523509833096</v>
      </c>
      <c r="V79">
        <v>310.06639158391698</v>
      </c>
      <c r="W79">
        <v>3836.3304684844602</v>
      </c>
      <c r="X79">
        <v>4385.0599535186202</v>
      </c>
      <c r="Y79">
        <v>7655.5069049097001</v>
      </c>
      <c r="Z79">
        <v>46560.985485678502</v>
      </c>
      <c r="AC79">
        <v>321394.34970461403</v>
      </c>
      <c r="AD79">
        <v>1155615.95062933</v>
      </c>
      <c r="AE79">
        <v>904282.63958701305</v>
      </c>
      <c r="AF79">
        <v>358603.843629674</v>
      </c>
      <c r="AG79">
        <v>24954.2402379538</v>
      </c>
      <c r="AH79">
        <v>284386.16112216399</v>
      </c>
      <c r="AI79">
        <v>82704.181703689799</v>
      </c>
      <c r="AJ79">
        <v>179539.89049322499</v>
      </c>
      <c r="AK79">
        <v>267597.13323387899</v>
      </c>
      <c r="AL79">
        <v>150406.24664641099</v>
      </c>
      <c r="AM79">
        <v>94044.922118409202</v>
      </c>
      <c r="AN79">
        <v>24073.421993337699</v>
      </c>
      <c r="AO79">
        <v>1888259.9385750601</v>
      </c>
      <c r="AP79">
        <v>38398.280164230702</v>
      </c>
      <c r="AQ79">
        <v>130444.639539342</v>
      </c>
      <c r="AR79">
        <v>2053441.86964737</v>
      </c>
      <c r="AS79">
        <v>2130825.2724395399</v>
      </c>
    </row>
    <row r="80" spans="1:45" x14ac:dyDescent="0.25">
      <c r="A80" s="1">
        <f t="shared" si="1"/>
        <v>43800</v>
      </c>
      <c r="B80" s="6">
        <v>264685.90080687898</v>
      </c>
      <c r="C80" s="6">
        <v>-59619.894251400103</v>
      </c>
      <c r="D80" s="6">
        <v>168790.57195998199</v>
      </c>
      <c r="E80" s="6"/>
      <c r="F80" s="6"/>
      <c r="G80" s="6"/>
      <c r="H80" s="6">
        <v>166004.290844445</v>
      </c>
      <c r="I80" s="6">
        <v>3777.4912672923201</v>
      </c>
      <c r="J80" s="6">
        <v>198869.294220863</v>
      </c>
      <c r="K80" s="6">
        <v>153525.97664906099</v>
      </c>
      <c r="L80" s="6">
        <v>90527.482873816101</v>
      </c>
      <c r="M80" s="6">
        <v>64481.766338136797</v>
      </c>
      <c r="N80">
        <v>18208.034053992898</v>
      </c>
      <c r="O80">
        <v>2216.6989094322998</v>
      </c>
      <c r="P80">
        <v>8130.5608336391097</v>
      </c>
      <c r="Q80">
        <v>54678.2929664779</v>
      </c>
      <c r="R80">
        <v>12583.289028155399</v>
      </c>
      <c r="S80">
        <v>17666.868461001399</v>
      </c>
      <c r="T80">
        <v>6922.7862391091803</v>
      </c>
      <c r="U80">
        <v>7863.7921402534803</v>
      </c>
      <c r="V80">
        <v>294.27194746105903</v>
      </c>
      <c r="W80">
        <v>2902.3384773729999</v>
      </c>
      <c r="X80">
        <v>3851.2287132747801</v>
      </c>
      <c r="Y80">
        <v>7656.7540405171503</v>
      </c>
      <c r="Z80">
        <v>46451.8303356955</v>
      </c>
      <c r="AC80">
        <v>315551.01067059999</v>
      </c>
      <c r="AD80">
        <v>1145573.8469934801</v>
      </c>
      <c r="AE80">
        <v>888270.60575252504</v>
      </c>
      <c r="AF80">
        <v>357207.51877684903</v>
      </c>
      <c r="AG80">
        <v>13852.870659599001</v>
      </c>
      <c r="AH80">
        <v>276423.738617144</v>
      </c>
      <c r="AI80">
        <v>82566.854547916897</v>
      </c>
      <c r="AJ80">
        <v>181176.41977182901</v>
      </c>
      <c r="AK80">
        <v>267580.39546527801</v>
      </c>
      <c r="AL80">
        <v>150114.58837242101</v>
      </c>
      <c r="AM80">
        <v>94368.979238737098</v>
      </c>
      <c r="AN80">
        <v>24052.8908242176</v>
      </c>
      <c r="AO80">
        <v>1861968.42078019</v>
      </c>
      <c r="AP80">
        <v>44301.871868093898</v>
      </c>
      <c r="AQ80">
        <v>124271.52590595301</v>
      </c>
      <c r="AR80">
        <v>2027980.6461885499</v>
      </c>
      <c r="AS80">
        <v>2100579.8669855902</v>
      </c>
    </row>
    <row r="81" spans="1:45" x14ac:dyDescent="0.25">
      <c r="A81" s="1">
        <f t="shared" si="1"/>
        <v>43891</v>
      </c>
      <c r="B81" s="6">
        <v>268506.782908188</v>
      </c>
      <c r="C81" s="6">
        <v>-59946.813609001001</v>
      </c>
      <c r="D81" s="6">
        <v>142649.43819278901</v>
      </c>
      <c r="E81" s="6"/>
      <c r="F81" s="6"/>
      <c r="G81" s="6"/>
      <c r="H81" s="6">
        <v>140025.40035406599</v>
      </c>
      <c r="I81" s="6">
        <v>3817.8774151623602</v>
      </c>
      <c r="J81" s="6">
        <v>200758.78550133499</v>
      </c>
      <c r="K81" s="6">
        <v>145801.32945772901</v>
      </c>
      <c r="L81" s="6">
        <v>82636.176542212794</v>
      </c>
      <c r="M81" s="6">
        <v>64174.025595361898</v>
      </c>
      <c r="N81">
        <v>15469.471655339699</v>
      </c>
      <c r="O81">
        <v>2081.8016716554398</v>
      </c>
      <c r="P81">
        <v>7697.2670932523397</v>
      </c>
      <c r="Q81">
        <v>61400.378654354703</v>
      </c>
      <c r="R81">
        <v>12615.506225041599</v>
      </c>
      <c r="S81">
        <v>16397.100781971501</v>
      </c>
      <c r="T81">
        <v>6274.4004696289603</v>
      </c>
      <c r="U81">
        <v>6455.7305508438503</v>
      </c>
      <c r="V81">
        <v>264.14153216123401</v>
      </c>
      <c r="W81">
        <v>2919.2062357765999</v>
      </c>
      <c r="X81">
        <v>3942.2938525643399</v>
      </c>
      <c r="Y81">
        <v>6337.5526788503803</v>
      </c>
      <c r="Z81">
        <v>45953.502014608297</v>
      </c>
      <c r="AC81">
        <v>317725.86017491599</v>
      </c>
      <c r="AD81">
        <v>1137614.1085345901</v>
      </c>
      <c r="AE81">
        <v>885872.86307122605</v>
      </c>
      <c r="AF81">
        <v>351904.183892628</v>
      </c>
      <c r="AG81">
        <v>18196.039972323801</v>
      </c>
      <c r="AH81">
        <v>273939.81743544998</v>
      </c>
      <c r="AI81">
        <v>81788.166356740898</v>
      </c>
      <c r="AJ81">
        <v>184338.05729515801</v>
      </c>
      <c r="AK81">
        <v>266406.92775325797</v>
      </c>
      <c r="AL81">
        <v>149005.045481379</v>
      </c>
      <c r="AM81">
        <v>94566.829266895904</v>
      </c>
      <c r="AN81">
        <v>23298.418547532499</v>
      </c>
      <c r="AO81">
        <v>1828222.16446782</v>
      </c>
      <c r="AP81">
        <v>33671.771182971199</v>
      </c>
      <c r="AQ81">
        <v>119424.294655588</v>
      </c>
      <c r="AR81">
        <v>1980092.5127191599</v>
      </c>
      <c r="AS81">
        <v>2092079.01329662</v>
      </c>
    </row>
    <row r="82" spans="1:45" x14ac:dyDescent="0.25">
      <c r="A82" s="1">
        <f t="shared" si="1"/>
        <v>43983</v>
      </c>
      <c r="B82" s="6">
        <v>271187.68436581199</v>
      </c>
      <c r="C82" s="6">
        <v>-59997.514012143401</v>
      </c>
      <c r="D82" s="6">
        <v>124299.11212019</v>
      </c>
      <c r="E82" s="6"/>
      <c r="F82" s="6"/>
      <c r="G82" s="6"/>
      <c r="H82" s="6">
        <v>121574.313734617</v>
      </c>
      <c r="I82" s="6">
        <v>3819.6050167467101</v>
      </c>
      <c r="J82" s="6">
        <v>207830.84533726599</v>
      </c>
      <c r="K82" s="6">
        <v>141145.489570012</v>
      </c>
      <c r="L82" s="6">
        <v>77392.744238422907</v>
      </c>
      <c r="M82" s="6">
        <v>64478.6902416991</v>
      </c>
      <c r="N82">
        <v>14148.652082750599</v>
      </c>
      <c r="O82">
        <v>2024.45053355187</v>
      </c>
      <c r="P82">
        <v>7278.2148329786696</v>
      </c>
      <c r="Q82">
        <v>71518.474398257793</v>
      </c>
      <c r="R82">
        <v>12648.777731812001</v>
      </c>
      <c r="S82">
        <v>14983.993380613299</v>
      </c>
      <c r="T82">
        <v>6026.5226236481703</v>
      </c>
      <c r="U82">
        <v>6107.33327406031</v>
      </c>
      <c r="V82">
        <v>262.076021620642</v>
      </c>
      <c r="W82">
        <v>2109.7248860731202</v>
      </c>
      <c r="X82">
        <v>3543.0466007560599</v>
      </c>
      <c r="Y82">
        <v>6167.5329733004901</v>
      </c>
      <c r="Z82">
        <v>43450.3617112676</v>
      </c>
      <c r="AC82">
        <v>270696.78795766103</v>
      </c>
      <c r="AD82">
        <v>1052159.5618934899</v>
      </c>
      <c r="AE82">
        <v>799628.43879007106</v>
      </c>
      <c r="AF82">
        <v>321617.872483215</v>
      </c>
      <c r="AG82">
        <v>3629.8414238014302</v>
      </c>
      <c r="AH82">
        <v>243066.75323672799</v>
      </c>
      <c r="AI82">
        <v>81088.875102877006</v>
      </c>
      <c r="AJ82">
        <v>186112.657126426</v>
      </c>
      <c r="AK82">
        <v>265617.66553575802</v>
      </c>
      <c r="AL82">
        <v>149561.64488074501</v>
      </c>
      <c r="AM82">
        <v>95379.912919247407</v>
      </c>
      <c r="AN82">
        <v>21341.015523203099</v>
      </c>
      <c r="AO82">
        <v>1710843.0004258601</v>
      </c>
      <c r="AP82">
        <v>30696.125896287202</v>
      </c>
      <c r="AQ82">
        <v>111855.991936454</v>
      </c>
      <c r="AR82">
        <v>1854044.47455169</v>
      </c>
      <c r="AS82">
        <v>1959570.2895049599</v>
      </c>
    </row>
    <row r="83" spans="1:45" x14ac:dyDescent="0.25">
      <c r="A83" s="1">
        <f t="shared" si="1"/>
        <v>44075</v>
      </c>
      <c r="B83" s="6">
        <v>271700.65470643202</v>
      </c>
      <c r="C83" s="6">
        <v>-59758.573123631002</v>
      </c>
      <c r="D83" s="6">
        <v>128341.929295585</v>
      </c>
      <c r="E83" s="6"/>
      <c r="F83" s="6"/>
      <c r="G83" s="6"/>
      <c r="H83" s="6">
        <v>125619.194606958</v>
      </c>
      <c r="I83" s="6">
        <v>3806.4965552460799</v>
      </c>
      <c r="J83" s="6">
        <v>202905.627044541</v>
      </c>
      <c r="K83" s="6">
        <v>142848.595016926</v>
      </c>
      <c r="L83" s="6">
        <v>78041.097239384893</v>
      </c>
      <c r="M83" s="6">
        <v>65512.394763907898</v>
      </c>
      <c r="N83">
        <v>13970.169616916</v>
      </c>
      <c r="O83">
        <v>1972.6140381611599</v>
      </c>
      <c r="P83">
        <v>7188.4594375160896</v>
      </c>
      <c r="Q83">
        <v>67767.349518476607</v>
      </c>
      <c r="R83">
        <v>12787.284772011501</v>
      </c>
      <c r="S83">
        <v>16146.6775968656</v>
      </c>
      <c r="T83">
        <v>6070.9477932816098</v>
      </c>
      <c r="U83">
        <v>5867.6271707672904</v>
      </c>
      <c r="V83">
        <v>256.98958419421098</v>
      </c>
      <c r="W83">
        <v>2437.71052654495</v>
      </c>
      <c r="X83">
        <v>3674.8443084103401</v>
      </c>
      <c r="Y83">
        <v>5863.2051965383198</v>
      </c>
      <c r="Z83">
        <v>47538.859103082599</v>
      </c>
      <c r="AC83">
        <v>334167.77219196002</v>
      </c>
      <c r="AD83">
        <v>1116954.17508202</v>
      </c>
      <c r="AE83">
        <v>853544.20982851204</v>
      </c>
      <c r="AF83">
        <v>349502.82290880702</v>
      </c>
      <c r="AG83">
        <v>6671.8634140466502</v>
      </c>
      <c r="AH83">
        <v>268916.20489282202</v>
      </c>
      <c r="AI83">
        <v>80487.565139041893</v>
      </c>
      <c r="AJ83">
        <v>187468.875755068</v>
      </c>
      <c r="AK83">
        <v>272774.60734362301</v>
      </c>
      <c r="AL83">
        <v>152897.063459278</v>
      </c>
      <c r="AM83">
        <v>97075.088715847494</v>
      </c>
      <c r="AN83">
        <v>23523.038861246801</v>
      </c>
      <c r="AO83">
        <v>1807381.61863286</v>
      </c>
      <c r="AP83">
        <v>27424.313144064301</v>
      </c>
      <c r="AQ83">
        <v>116899.39245692801</v>
      </c>
      <c r="AR83">
        <v>1952685.0902229201</v>
      </c>
      <c r="AS83">
        <v>2089074.51993622</v>
      </c>
    </row>
    <row r="84" spans="1:45" x14ac:dyDescent="0.25">
      <c r="A84" s="1">
        <f t="shared" si="1"/>
        <v>44166</v>
      </c>
      <c r="B84" s="6">
        <v>277295.30104434001</v>
      </c>
      <c r="C84" s="6">
        <v>-59277.882914538102</v>
      </c>
      <c r="D84" s="6">
        <v>152430.46629162799</v>
      </c>
      <c r="E84" s="6"/>
      <c r="F84" s="6"/>
      <c r="G84" s="6"/>
      <c r="H84" s="6">
        <v>149767.334557922</v>
      </c>
      <c r="I84" s="6">
        <v>3719.7709280526601</v>
      </c>
      <c r="J84" s="6">
        <v>198784.59920013699</v>
      </c>
      <c r="K84" s="6">
        <v>144499.48947981099</v>
      </c>
      <c r="L84" s="6">
        <v>80970.904620449801</v>
      </c>
      <c r="M84" s="6">
        <v>65015.720942805303</v>
      </c>
      <c r="N84">
        <v>14298.7626675421</v>
      </c>
      <c r="O84">
        <v>2067.05327432168</v>
      </c>
      <c r="P84">
        <v>7064.2133259498196</v>
      </c>
      <c r="Q84">
        <v>62569.594911412198</v>
      </c>
      <c r="R84">
        <v>12958.988787727299</v>
      </c>
      <c r="S84">
        <v>15877.3582147132</v>
      </c>
      <c r="T84">
        <v>6472.0537868496303</v>
      </c>
      <c r="U84">
        <v>6417.0806847575104</v>
      </c>
      <c r="V84">
        <v>272.86397341895298</v>
      </c>
      <c r="W84">
        <v>2937.77972847009</v>
      </c>
      <c r="X84">
        <v>3978.0940062045802</v>
      </c>
      <c r="Y84">
        <v>6333.8377085602797</v>
      </c>
      <c r="Z84">
        <v>47306.198283530997</v>
      </c>
      <c r="AC84">
        <v>331849.415159647</v>
      </c>
      <c r="AD84">
        <v>1127654.75935957</v>
      </c>
      <c r="AE84">
        <v>865071.05728227505</v>
      </c>
      <c r="AF84">
        <v>349436.63989882602</v>
      </c>
      <c r="AG84">
        <v>8026.2034306825199</v>
      </c>
      <c r="AH84">
        <v>268599.92383579898</v>
      </c>
      <c r="AI84">
        <v>80080.120047305405</v>
      </c>
      <c r="AJ84">
        <v>187422.976986967</v>
      </c>
      <c r="AK84">
        <v>275880.31730281899</v>
      </c>
      <c r="AL84">
        <v>153864.20313912799</v>
      </c>
      <c r="AM84">
        <v>98212.082559118804</v>
      </c>
      <c r="AN84">
        <v>24849.7715608781</v>
      </c>
      <c r="AO84">
        <v>1855350.4205676101</v>
      </c>
      <c r="AP84">
        <v>24700.4729145866</v>
      </c>
      <c r="AQ84">
        <v>115297.76948621</v>
      </c>
      <c r="AR84">
        <v>1998437.6637512301</v>
      </c>
      <c r="AS84">
        <v>2095773.42571711</v>
      </c>
    </row>
    <row r="85" spans="1:45" x14ac:dyDescent="0.25">
      <c r="A85" s="1">
        <f t="shared" si="1"/>
        <v>44256</v>
      </c>
      <c r="B85" s="6">
        <v>264191.09920467902</v>
      </c>
      <c r="C85" s="6">
        <v>-58604.1052686041</v>
      </c>
      <c r="D85" s="6">
        <v>165576.71134771901</v>
      </c>
      <c r="E85" s="6"/>
      <c r="F85" s="6"/>
      <c r="G85" s="6"/>
      <c r="H85" s="6">
        <v>163089.68950966501</v>
      </c>
      <c r="I85" s="6">
        <v>3643.6670921446798</v>
      </c>
      <c r="J85" s="6">
        <v>213311.52968249799</v>
      </c>
      <c r="K85" s="6">
        <v>149085.41448592101</v>
      </c>
      <c r="L85" s="6">
        <v>83167.940558541202</v>
      </c>
      <c r="M85" s="6">
        <v>66741.332770002904</v>
      </c>
      <c r="N85">
        <v>14931.164304506699</v>
      </c>
      <c r="O85">
        <v>2192.2531077301001</v>
      </c>
      <c r="P85">
        <v>7284.9596135113998</v>
      </c>
      <c r="Q85">
        <v>65885.800414325306</v>
      </c>
      <c r="R85">
        <v>13332.0094064896</v>
      </c>
      <c r="S85">
        <v>16150.3479655229</v>
      </c>
      <c r="T85">
        <v>7122.8240315842604</v>
      </c>
      <c r="U85">
        <v>6594.0251118630804</v>
      </c>
      <c r="V85">
        <v>290.07715931215</v>
      </c>
      <c r="W85">
        <v>2844.5063228076501</v>
      </c>
      <c r="X85">
        <v>4039.9687636971098</v>
      </c>
      <c r="Y85">
        <v>5986.0994126443302</v>
      </c>
      <c r="Z85">
        <v>47958.547458594803</v>
      </c>
      <c r="AC85">
        <v>331448.48482173</v>
      </c>
      <c r="AD85">
        <v>1138269.3883305299</v>
      </c>
      <c r="AE85">
        <v>867623.37951713102</v>
      </c>
      <c r="AF85">
        <v>351645.84874696803</v>
      </c>
      <c r="AG85">
        <v>9812.82706040013</v>
      </c>
      <c r="AH85">
        <v>266766.38471754699</v>
      </c>
      <c r="AI85">
        <v>79660.746124565601</v>
      </c>
      <c r="AJ85">
        <v>187853.996904692</v>
      </c>
      <c r="AK85">
        <v>273282.19007498998</v>
      </c>
      <c r="AL85">
        <v>151512.937925087</v>
      </c>
      <c r="AM85">
        <v>98410.383539688904</v>
      </c>
      <c r="AN85">
        <v>23844.3216216375</v>
      </c>
      <c r="AO85">
        <v>1867366.67729296</v>
      </c>
      <c r="AP85">
        <v>26100.392389453398</v>
      </c>
      <c r="AQ85">
        <v>113351.86097393501</v>
      </c>
      <c r="AR85">
        <v>2007265.1130180601</v>
      </c>
      <c r="AS85">
        <v>2096584.5436061199</v>
      </c>
    </row>
    <row r="86" spans="1:45" x14ac:dyDescent="0.25">
      <c r="A86" s="1">
        <f t="shared" si="1"/>
        <v>44348</v>
      </c>
      <c r="B86" s="6">
        <v>263397.23472882999</v>
      </c>
      <c r="C86" s="6">
        <v>-58087.327712824699</v>
      </c>
      <c r="D86" s="6">
        <v>174700.09983218901</v>
      </c>
      <c r="E86" s="6"/>
      <c r="F86" s="6"/>
      <c r="G86" s="6"/>
      <c r="H86" s="6">
        <v>172180.350868309</v>
      </c>
      <c r="I86" s="6">
        <v>3630.2526938339502</v>
      </c>
      <c r="J86" s="6">
        <v>211170.528874735</v>
      </c>
      <c r="K86" s="6">
        <v>153682.471574533</v>
      </c>
      <c r="L86" s="6">
        <v>85932.844183716705</v>
      </c>
      <c r="M86" s="6">
        <v>68657.536769709695</v>
      </c>
      <c r="N86">
        <v>15505.757029030499</v>
      </c>
      <c r="O86">
        <v>2232.0257213885702</v>
      </c>
      <c r="P86">
        <v>7553.2701460340904</v>
      </c>
      <c r="Q86">
        <v>67544.824519739603</v>
      </c>
      <c r="R86">
        <v>13558.6150197479</v>
      </c>
      <c r="S86">
        <v>16772.685287083899</v>
      </c>
      <c r="T86">
        <v>7635.4606436184104</v>
      </c>
      <c r="U86">
        <v>7004.5043384511</v>
      </c>
      <c r="V86">
        <v>303.13513007010602</v>
      </c>
      <c r="W86">
        <v>2857.7925663934702</v>
      </c>
      <c r="X86">
        <v>4112.2270099913703</v>
      </c>
      <c r="Y86">
        <v>6197.6090200181097</v>
      </c>
      <c r="Z86">
        <v>48843.370014867804</v>
      </c>
      <c r="AC86">
        <v>322544.04700435302</v>
      </c>
      <c r="AD86">
        <v>1140058.7986097999</v>
      </c>
      <c r="AE86">
        <v>879116.61324513098</v>
      </c>
      <c r="AF86">
        <v>356105.89696487901</v>
      </c>
      <c r="AG86">
        <v>9716.9306673721894</v>
      </c>
      <c r="AH86">
        <v>268265.112933425</v>
      </c>
      <c r="AI86">
        <v>79383.725339140699</v>
      </c>
      <c r="AJ86">
        <v>188423.38050195199</v>
      </c>
      <c r="AK86">
        <v>273746.23149239901</v>
      </c>
      <c r="AL86">
        <v>150727.441911562</v>
      </c>
      <c r="AM86">
        <v>98987.260279431095</v>
      </c>
      <c r="AN86">
        <v>24461.199606406</v>
      </c>
      <c r="AO86">
        <v>1864495.25624875</v>
      </c>
      <c r="AP86">
        <v>25230.969654021399</v>
      </c>
      <c r="AQ86">
        <v>116224.099931233</v>
      </c>
      <c r="AR86">
        <v>2007770.20229565</v>
      </c>
      <c r="AS86">
        <v>2083562.9283145701</v>
      </c>
    </row>
    <row r="87" spans="1:45" x14ac:dyDescent="0.25">
      <c r="A87" s="1">
        <f t="shared" si="1"/>
        <v>44440</v>
      </c>
      <c r="B87" s="6">
        <v>265511.67478961102</v>
      </c>
      <c r="C87" s="6">
        <v>-57951.558099420799</v>
      </c>
      <c r="D87" s="6">
        <v>161571.673082483</v>
      </c>
      <c r="E87" s="6"/>
      <c r="F87" s="6"/>
      <c r="G87" s="6"/>
      <c r="H87" s="6">
        <v>158981.97118646101</v>
      </c>
      <c r="I87" s="6">
        <v>3644.0845513873601</v>
      </c>
      <c r="J87" s="6">
        <v>211797.21022900299</v>
      </c>
      <c r="K87" s="6">
        <v>155877.24367268701</v>
      </c>
      <c r="L87" s="6">
        <v>87328.208407024606</v>
      </c>
      <c r="M87" s="6">
        <v>69551.323897579496</v>
      </c>
      <c r="N87">
        <v>16427.860481854299</v>
      </c>
      <c r="O87">
        <v>2185.5808814772799</v>
      </c>
      <c r="P87">
        <v>7358.7237606443496</v>
      </c>
      <c r="Q87">
        <v>64914.754783893499</v>
      </c>
      <c r="R87">
        <v>13885.7379732671</v>
      </c>
      <c r="S87">
        <v>17104.019803613701</v>
      </c>
      <c r="T87">
        <v>7873.3387507324096</v>
      </c>
      <c r="U87">
        <v>7083.6633432134604</v>
      </c>
      <c r="V87">
        <v>303.94160105544302</v>
      </c>
      <c r="W87">
        <v>2780.3501919755699</v>
      </c>
      <c r="X87">
        <v>4103.9074134746197</v>
      </c>
      <c r="Y87">
        <v>6234.46425043406</v>
      </c>
      <c r="Z87">
        <v>51433.317042249902</v>
      </c>
      <c r="AC87">
        <v>338419.67559128901</v>
      </c>
      <c r="AD87">
        <v>1164203.7013892699</v>
      </c>
      <c r="AE87">
        <v>897155.84754155006</v>
      </c>
      <c r="AF87">
        <v>356860.39141979901</v>
      </c>
      <c r="AG87">
        <v>13861.9652896758</v>
      </c>
      <c r="AH87">
        <v>280529.10182142298</v>
      </c>
      <c r="AI87">
        <v>79519.618541592601</v>
      </c>
      <c r="AJ87">
        <v>189396.86318744</v>
      </c>
      <c r="AK87">
        <v>276181.40330241801</v>
      </c>
      <c r="AL87">
        <v>152433.406979533</v>
      </c>
      <c r="AM87">
        <v>99849.674982471901</v>
      </c>
      <c r="AN87">
        <v>24593.551142698001</v>
      </c>
      <c r="AO87">
        <v>1885574.59910335</v>
      </c>
      <c r="AP87">
        <v>25204.5063169073</v>
      </c>
      <c r="AQ87">
        <v>114969.964209646</v>
      </c>
      <c r="AR87">
        <v>2026967.62904578</v>
      </c>
      <c r="AS87">
        <v>2140797.8427613401</v>
      </c>
    </row>
    <row r="88" spans="1:45" x14ac:dyDescent="0.25">
      <c r="A88" s="1">
        <f t="shared" si="1"/>
        <v>44531</v>
      </c>
      <c r="B88" s="6">
        <v>272217.13727638801</v>
      </c>
      <c r="C88" s="6">
        <v>-58100.737986450098</v>
      </c>
      <c r="D88" s="6">
        <v>158272.16033498399</v>
      </c>
      <c r="E88" s="6"/>
      <c r="F88" s="6"/>
      <c r="G88" s="6"/>
      <c r="H88" s="6">
        <v>155857.351335849</v>
      </c>
      <c r="I88" s="6">
        <v>3670.78411008799</v>
      </c>
      <c r="J88" s="6">
        <v>226603.914682984</v>
      </c>
      <c r="K88" s="6">
        <v>158205.34692091501</v>
      </c>
      <c r="L88" s="6">
        <v>88865.102455216998</v>
      </c>
      <c r="M88" s="6">
        <v>70953.1844262628</v>
      </c>
      <c r="N88">
        <v>16796.3973851546</v>
      </c>
      <c r="O88">
        <v>2345.7658628357999</v>
      </c>
      <c r="P88">
        <v>7519.7321064880198</v>
      </c>
      <c r="Q88">
        <v>77013.977808268493</v>
      </c>
      <c r="R88">
        <v>14146.883870363899</v>
      </c>
      <c r="S88">
        <v>18307.9526184393</v>
      </c>
      <c r="T88">
        <v>7933.7835828779198</v>
      </c>
      <c r="U88">
        <v>6925.1405651203704</v>
      </c>
      <c r="V88">
        <v>234.42813418804801</v>
      </c>
      <c r="W88">
        <v>2780.7953794282098</v>
      </c>
      <c r="X88">
        <v>3977.59302418984</v>
      </c>
      <c r="Y88">
        <v>6295.8908697491797</v>
      </c>
      <c r="Z88">
        <v>51212.410798331803</v>
      </c>
      <c r="AC88">
        <v>338561.34810853098</v>
      </c>
      <c r="AD88">
        <v>1156153.3063056699</v>
      </c>
      <c r="AE88">
        <v>890587.83942700701</v>
      </c>
      <c r="AF88">
        <v>355621.14562119398</v>
      </c>
      <c r="AG88">
        <v>14399.151001169001</v>
      </c>
      <c r="AH88">
        <v>279571.93854421302</v>
      </c>
      <c r="AI88">
        <v>79921.985573956306</v>
      </c>
      <c r="AJ88">
        <v>190414.796236191</v>
      </c>
      <c r="AK88">
        <v>278349.48162490199</v>
      </c>
      <c r="AL88">
        <v>154115.27762410801</v>
      </c>
      <c r="AM88">
        <v>100470.634825</v>
      </c>
      <c r="AN88">
        <v>24748.028599711299</v>
      </c>
      <c r="AO88">
        <v>1903319.32444425</v>
      </c>
      <c r="AP88">
        <v>23648.011900161699</v>
      </c>
      <c r="AQ88">
        <v>113277.058847801</v>
      </c>
      <c r="AR88">
        <v>2041767.69237908</v>
      </c>
      <c r="AS88">
        <v>2132890.0505175502</v>
      </c>
    </row>
    <row r="89" spans="1:45" x14ac:dyDescent="0.25">
      <c r="A89" s="1">
        <f t="shared" si="1"/>
        <v>44621</v>
      </c>
      <c r="B89" s="6">
        <v>275442.67781233299</v>
      </c>
      <c r="C89" s="6">
        <v>-58782.154333503502</v>
      </c>
      <c r="D89" s="6">
        <v>162626.78642557</v>
      </c>
      <c r="E89" s="6"/>
      <c r="F89" s="6"/>
      <c r="G89" s="6"/>
      <c r="H89" s="6">
        <v>160033.65922170199</v>
      </c>
      <c r="I89" s="6">
        <v>3846.9898176235702</v>
      </c>
      <c r="J89" s="6">
        <v>233990.44893622099</v>
      </c>
      <c r="K89" s="6">
        <v>176067.67493102499</v>
      </c>
      <c r="L89" s="6">
        <v>91553.718708533605</v>
      </c>
      <c r="M89" s="6">
        <v>84958.317755683398</v>
      </c>
      <c r="N89">
        <v>17443.244331775</v>
      </c>
      <c r="O89">
        <v>2439.0278727946302</v>
      </c>
      <c r="P89">
        <v>7527.1875633868003</v>
      </c>
      <c r="Q89">
        <v>71855.919939943997</v>
      </c>
      <c r="R89">
        <v>14573.616036495199</v>
      </c>
      <c r="S89">
        <v>19728.7758131304</v>
      </c>
      <c r="T89">
        <v>7794.1171455315098</v>
      </c>
      <c r="U89">
        <v>6947.0538247302402</v>
      </c>
      <c r="V89">
        <v>251.81644845428201</v>
      </c>
      <c r="W89">
        <v>2645.9085067525698</v>
      </c>
      <c r="X89">
        <v>3882.0076232650599</v>
      </c>
      <c r="Y89">
        <v>6764.8639783477201</v>
      </c>
      <c r="Z89">
        <v>51806.3106492074</v>
      </c>
      <c r="AC89">
        <v>340120.13848106598</v>
      </c>
      <c r="AD89">
        <v>1183746.7421565</v>
      </c>
      <c r="AE89">
        <v>916311.10898381996</v>
      </c>
      <c r="AF89">
        <v>362829.73111943202</v>
      </c>
      <c r="AG89">
        <v>15598.578355739501</v>
      </c>
      <c r="AH89">
        <v>283441.46670531598</v>
      </c>
      <c r="AI89">
        <v>80552.403992273496</v>
      </c>
      <c r="AJ89">
        <v>193537.58643788501</v>
      </c>
      <c r="AK89">
        <v>279385.10560700297</v>
      </c>
      <c r="AL89">
        <v>154574.71464553801</v>
      </c>
      <c r="AM89">
        <v>100764.56319071</v>
      </c>
      <c r="AN89">
        <v>24892.177939805999</v>
      </c>
      <c r="AO89">
        <v>1935690.31937821</v>
      </c>
      <c r="AP89">
        <v>22342.462740147101</v>
      </c>
      <c r="AQ89">
        <v>116772.250021021</v>
      </c>
      <c r="AR89">
        <v>2072834.2367521501</v>
      </c>
      <c r="AS89">
        <v>2174578.93875041</v>
      </c>
    </row>
    <row r="90" spans="1:45" x14ac:dyDescent="0.25">
      <c r="A90" s="1">
        <f t="shared" si="1"/>
        <v>44713</v>
      </c>
      <c r="B90" s="6">
        <v>277008.56783533201</v>
      </c>
      <c r="C90" s="6">
        <v>-59072.2613055736</v>
      </c>
      <c r="D90" s="6">
        <v>154920.231855007</v>
      </c>
      <c r="E90" s="6"/>
      <c r="F90" s="6"/>
      <c r="G90" s="6"/>
      <c r="H90" s="6">
        <v>152312.982968611</v>
      </c>
      <c r="I90" s="6">
        <v>3949.9900310993899</v>
      </c>
      <c r="J90" s="6">
        <v>242492.554280985</v>
      </c>
      <c r="K90" s="6">
        <v>157836.05570177999</v>
      </c>
      <c r="L90" s="6">
        <v>92949.845730934801</v>
      </c>
      <c r="M90" s="6">
        <v>66284.580381877196</v>
      </c>
      <c r="N90">
        <v>16385.595085558001</v>
      </c>
      <c r="O90">
        <v>2449.23763812165</v>
      </c>
      <c r="P90">
        <v>7784.0601019944597</v>
      </c>
      <c r="Q90">
        <v>81472.652784161095</v>
      </c>
      <c r="R90">
        <v>14620.6672507524</v>
      </c>
      <c r="S90">
        <v>20455.6164918135</v>
      </c>
      <c r="T90">
        <v>7777.6850386898404</v>
      </c>
      <c r="U90">
        <v>7042.7058199924804</v>
      </c>
      <c r="V90">
        <v>255.57320695188801</v>
      </c>
      <c r="W90">
        <v>3068.0479297859401</v>
      </c>
      <c r="X90">
        <v>4099.0492659168503</v>
      </c>
      <c r="Y90">
        <v>7237.4669097627402</v>
      </c>
      <c r="Z90">
        <v>53082.7763243472</v>
      </c>
      <c r="AC90">
        <v>342786.84168193798</v>
      </c>
      <c r="AD90">
        <v>1196168.1327583001</v>
      </c>
      <c r="AE90">
        <v>929826.01186190802</v>
      </c>
      <c r="AF90">
        <v>369940.38184790901</v>
      </c>
      <c r="AG90">
        <v>17397.711461622101</v>
      </c>
      <c r="AH90">
        <v>285767.20358431299</v>
      </c>
      <c r="AI90">
        <v>80961.029272938104</v>
      </c>
      <c r="AJ90">
        <v>195491.57723993901</v>
      </c>
      <c r="AK90">
        <v>279214.20770239399</v>
      </c>
      <c r="AL90">
        <v>153786.76694567499</v>
      </c>
      <c r="AM90">
        <v>100586.542719847</v>
      </c>
      <c r="AN90">
        <v>25250.807713977501</v>
      </c>
      <c r="AO90">
        <v>1937055.9155918499</v>
      </c>
      <c r="AP90">
        <v>22054.828961605301</v>
      </c>
      <c r="AQ90">
        <v>118237.12249127901</v>
      </c>
      <c r="AR90">
        <v>2080958.6499533099</v>
      </c>
      <c r="AS90">
        <v>2205380.7401538501</v>
      </c>
    </row>
    <row r="91" spans="1:45" x14ac:dyDescent="0.25">
      <c r="A91" s="1">
        <f>EDATE(A90,3)</f>
        <v>44805</v>
      </c>
      <c r="B91" s="6">
        <v>281443.97550280299</v>
      </c>
      <c r="C91" s="6">
        <v>-59496.3230742089</v>
      </c>
      <c r="D91" s="6">
        <v>152341.94905123301</v>
      </c>
      <c r="E91" s="6"/>
      <c r="F91" s="6"/>
      <c r="G91" s="6"/>
      <c r="H91" s="6">
        <v>149680.85487595201</v>
      </c>
      <c r="I91" s="6">
        <v>3988.7122946258701</v>
      </c>
      <c r="J91" s="6">
        <v>247049.19142867799</v>
      </c>
      <c r="K91" s="6">
        <v>165248.94042058001</v>
      </c>
      <c r="L91" s="6">
        <v>95336.562420239803</v>
      </c>
      <c r="M91" s="6">
        <v>71039.934422419203</v>
      </c>
      <c r="N91">
        <v>16628.6709191232</v>
      </c>
      <c r="O91">
        <v>3048.7559410358499</v>
      </c>
      <c r="P91">
        <v>8895.7582583018593</v>
      </c>
      <c r="Q91">
        <v>83972.307679713893</v>
      </c>
      <c r="R91">
        <v>15294.522604977399</v>
      </c>
      <c r="S91">
        <v>20406.818330845799</v>
      </c>
      <c r="T91">
        <v>7772.9082262793199</v>
      </c>
      <c r="U91">
        <v>7036.7252005752098</v>
      </c>
      <c r="V91">
        <v>295.65233265357699</v>
      </c>
      <c r="W91">
        <v>2674.5147330570398</v>
      </c>
      <c r="X91">
        <v>4012.96053363387</v>
      </c>
      <c r="Y91">
        <v>7265.7419935205799</v>
      </c>
      <c r="Z91">
        <v>52206.069073109298</v>
      </c>
      <c r="AC91">
        <v>349575.25546864001</v>
      </c>
      <c r="AD91">
        <v>1212524.0375361801</v>
      </c>
      <c r="AE91">
        <v>941647.27054115001</v>
      </c>
      <c r="AF91">
        <v>375542.69412109099</v>
      </c>
      <c r="AG91">
        <v>19809.611689148001</v>
      </c>
      <c r="AH91">
        <v>288441.44076094101</v>
      </c>
      <c r="AI91">
        <v>81573.0357259312</v>
      </c>
      <c r="AJ91">
        <v>197301.327313938</v>
      </c>
      <c r="AK91">
        <v>281775.83520156401</v>
      </c>
      <c r="AL91">
        <v>155925.27902116001</v>
      </c>
      <c r="AM91">
        <v>101304.521149801</v>
      </c>
      <c r="AN91">
        <v>25312.363477792202</v>
      </c>
      <c r="AO91">
        <v>1954481.2538215299</v>
      </c>
      <c r="AP91">
        <v>21668.7379106279</v>
      </c>
      <c r="AQ91">
        <v>117361.77312282901</v>
      </c>
      <c r="AR91">
        <v>2094203.2075525301</v>
      </c>
      <c r="AS91">
        <v>2247940.3341625398</v>
      </c>
    </row>
    <row r="92" spans="1:45" x14ac:dyDescent="0.25">
      <c r="A92" s="1">
        <f t="shared" ref="A92:A108" si="2">EDATE(A91,3)</f>
        <v>44896</v>
      </c>
      <c r="B92" s="6">
        <v>286743.97506745299</v>
      </c>
      <c r="C92" s="6">
        <v>-59899.445362512502</v>
      </c>
      <c r="D92" s="6">
        <v>156527.177824182</v>
      </c>
      <c r="E92" s="6"/>
      <c r="F92" s="6"/>
      <c r="G92" s="6"/>
      <c r="H92" s="6">
        <v>153898.422172475</v>
      </c>
      <c r="I92" s="6">
        <v>4017.2894333240502</v>
      </c>
      <c r="J92" s="6">
        <v>249210.181013544</v>
      </c>
      <c r="K92" s="6">
        <v>177047.21686794699</v>
      </c>
      <c r="L92" s="6">
        <v>98261.616811222702</v>
      </c>
      <c r="M92" s="6">
        <v>80553.157080204895</v>
      </c>
      <c r="N92">
        <v>17385.064118925198</v>
      </c>
      <c r="O92">
        <v>2756.2960888750199</v>
      </c>
      <c r="P92">
        <v>8712.3982920212293</v>
      </c>
      <c r="Q92">
        <v>80354.406015955901</v>
      </c>
      <c r="R92">
        <v>15547.7562861801</v>
      </c>
      <c r="S92">
        <v>21015.195497087101</v>
      </c>
      <c r="T92">
        <v>7909.8132207989602</v>
      </c>
      <c r="U92">
        <v>7148.1989335443404</v>
      </c>
      <c r="V92">
        <v>339.72371533729103</v>
      </c>
      <c r="W92">
        <v>3478.96651740888</v>
      </c>
      <c r="X92">
        <v>4531.9863244824801</v>
      </c>
      <c r="Y92">
        <v>7393.8793710405598</v>
      </c>
      <c r="Z92">
        <v>53609.011725162098</v>
      </c>
      <c r="AC92">
        <v>353006.96579867398</v>
      </c>
      <c r="AD92">
        <v>1213958.9055866899</v>
      </c>
      <c r="AE92">
        <v>943479.26644254499</v>
      </c>
      <c r="AF92">
        <v>374125.38447038102</v>
      </c>
      <c r="AG92">
        <v>21118.565079009099</v>
      </c>
      <c r="AH92">
        <v>288015.38749498298</v>
      </c>
      <c r="AI92">
        <v>82317.579496424907</v>
      </c>
      <c r="AJ92">
        <v>197915.01756495601</v>
      </c>
      <c r="AK92">
        <v>284531.50827486202</v>
      </c>
      <c r="AL92">
        <v>157935.85272029199</v>
      </c>
      <c r="AM92">
        <v>102034.275434881</v>
      </c>
      <c r="AN92">
        <v>25493.186381616899</v>
      </c>
      <c r="AO92">
        <v>1987100.67321679</v>
      </c>
      <c r="AP92">
        <v>22868.248886601399</v>
      </c>
      <c r="AQ92">
        <v>118832.314479238</v>
      </c>
      <c r="AR92">
        <v>2130748.7280336502</v>
      </c>
      <c r="AS92">
        <v>2245897.0008050501</v>
      </c>
    </row>
    <row r="93" spans="1:45" x14ac:dyDescent="0.25">
      <c r="A93" s="1">
        <f t="shared" si="2"/>
        <v>44986</v>
      </c>
      <c r="B93" s="6">
        <v>286809.76142864098</v>
      </c>
      <c r="C93" s="6">
        <v>-60093.369011199298</v>
      </c>
      <c r="D93" s="6">
        <v>157497.78600845</v>
      </c>
      <c r="E93" s="6"/>
      <c r="F93" s="6"/>
      <c r="G93" s="6"/>
      <c r="H93" s="6">
        <v>154842.61170955701</v>
      </c>
      <c r="I93" s="6">
        <v>4003.4394540673202</v>
      </c>
      <c r="J93" s="6">
        <v>246739.27530384299</v>
      </c>
      <c r="K93" s="6">
        <v>178402.72075374599</v>
      </c>
      <c r="L93" s="6">
        <v>101394.102930974</v>
      </c>
      <c r="M93" s="6">
        <v>77075.720498477502</v>
      </c>
      <c r="N93">
        <v>18972.7390989101</v>
      </c>
      <c r="O93">
        <v>2767.1409548342799</v>
      </c>
      <c r="P93">
        <v>8894.7197203134801</v>
      </c>
      <c r="Q93">
        <v>82875.344390045502</v>
      </c>
      <c r="R93">
        <v>15499.983952443001</v>
      </c>
      <c r="S93">
        <v>21643.2032360382</v>
      </c>
      <c r="T93">
        <v>8122.8945032675902</v>
      </c>
      <c r="U93">
        <v>7537.9509893070099</v>
      </c>
      <c r="V93">
        <v>325.50131036115499</v>
      </c>
      <c r="W93">
        <v>3496.8163980317299</v>
      </c>
      <c r="X93">
        <v>4745.2313026040301</v>
      </c>
      <c r="Y93">
        <v>7628.8468595153799</v>
      </c>
      <c r="Z93">
        <v>54259.746009099697</v>
      </c>
      <c r="AB93" s="2">
        <f t="shared" ref="AB93:AB104" si="3">Z93/Z92-1</f>
        <v>1.2138524158470387E-2</v>
      </c>
      <c r="AC93">
        <v>355792.25987412699</v>
      </c>
      <c r="AD93">
        <v>1227270.46335606</v>
      </c>
      <c r="AE93">
        <v>953674.61365987302</v>
      </c>
      <c r="AF93">
        <v>384037.74002670898</v>
      </c>
      <c r="AG93">
        <v>17849.6401803599</v>
      </c>
      <c r="AH93">
        <v>290145.559147514</v>
      </c>
      <c r="AI93">
        <v>83325.200368785096</v>
      </c>
      <c r="AJ93">
        <v>198823.00624679899</v>
      </c>
      <c r="AK93">
        <v>286998.805961242</v>
      </c>
      <c r="AL93">
        <v>159219.94155123399</v>
      </c>
      <c r="AM93">
        <v>102856.628768301</v>
      </c>
      <c r="AN93">
        <v>25755.974060721801</v>
      </c>
      <c r="AO93">
        <v>1983994.92658204</v>
      </c>
      <c r="AP93">
        <v>23601.781282172298</v>
      </c>
      <c r="AQ93">
        <v>123218.229031821</v>
      </c>
      <c r="AR93">
        <v>2127258.92938527</v>
      </c>
      <c r="AS93">
        <v>2254121.5272666002</v>
      </c>
    </row>
    <row r="94" spans="1:45" x14ac:dyDescent="0.25">
      <c r="A94" s="1">
        <f t="shared" si="2"/>
        <v>45078</v>
      </c>
      <c r="B94" s="6">
        <v>285159.350540769</v>
      </c>
      <c r="C94" s="6">
        <v>-60894.190871392297</v>
      </c>
      <c r="D94" s="6">
        <v>165513.08891264099</v>
      </c>
      <c r="E94" s="6"/>
      <c r="F94" s="6"/>
      <c r="G94" s="6"/>
      <c r="H94" s="6">
        <v>162844.98704199301</v>
      </c>
      <c r="I94" s="6">
        <v>4024.6937589211798</v>
      </c>
      <c r="J94" s="6">
        <v>245074.957919473</v>
      </c>
      <c r="K94" s="6">
        <v>178712.25934385601</v>
      </c>
      <c r="L94" s="6">
        <v>102118.498920734</v>
      </c>
      <c r="M94" s="6">
        <v>78001.483697286196</v>
      </c>
      <c r="N94">
        <v>18794.399958535301</v>
      </c>
      <c r="O94">
        <v>2632.5937318758902</v>
      </c>
      <c r="P94">
        <v>8508.4019864872898</v>
      </c>
      <c r="Q94">
        <v>74943.562313117</v>
      </c>
      <c r="R94">
        <v>15874.7101333465</v>
      </c>
      <c r="S94">
        <v>21814.360540925099</v>
      </c>
      <c r="T94">
        <v>8302.4999013471406</v>
      </c>
      <c r="U94">
        <v>7671.1712065626598</v>
      </c>
      <c r="V94">
        <v>321.127720157883</v>
      </c>
      <c r="W94">
        <v>3442.3455836755802</v>
      </c>
      <c r="X94">
        <v>4859.9664642809003</v>
      </c>
      <c r="Y94">
        <v>7674.48575065767</v>
      </c>
      <c r="Z94">
        <v>53893.310229315801</v>
      </c>
      <c r="AB94" s="2">
        <f t="shared" si="3"/>
        <v>-6.7533633445767682E-3</v>
      </c>
      <c r="AC94">
        <v>357719.36228981399</v>
      </c>
      <c r="AD94">
        <v>1249446.7459360601</v>
      </c>
      <c r="AE94">
        <v>978119.81805046601</v>
      </c>
      <c r="AF94">
        <v>393399.93968891801</v>
      </c>
      <c r="AG94">
        <v>22995.170826518701</v>
      </c>
      <c r="AH94">
        <v>295096.005692615</v>
      </c>
      <c r="AI94">
        <v>84583.245982734399</v>
      </c>
      <c r="AJ94">
        <v>201085.17281512401</v>
      </c>
      <c r="AK94">
        <v>287668.291321119</v>
      </c>
      <c r="AL94">
        <v>159203.28566460701</v>
      </c>
      <c r="AM94">
        <v>103017.771204038</v>
      </c>
      <c r="AN94">
        <v>25826.4315774034</v>
      </c>
      <c r="AO94">
        <v>2029026.21460947</v>
      </c>
      <c r="AP94">
        <v>24206.237560351201</v>
      </c>
      <c r="AQ94">
        <v>127132.28337811099</v>
      </c>
      <c r="AR94">
        <v>2183173.83380668</v>
      </c>
      <c r="AS94">
        <v>2301056.4793020301</v>
      </c>
    </row>
    <row r="95" spans="1:45" x14ac:dyDescent="0.25">
      <c r="A95" s="1">
        <f t="shared" si="2"/>
        <v>45170</v>
      </c>
      <c r="B95" s="6">
        <v>289020.58691914298</v>
      </c>
      <c r="C95" s="6">
        <v>-61376.700808287002</v>
      </c>
      <c r="D95" s="6">
        <v>181670.52793293999</v>
      </c>
      <c r="E95" s="6"/>
      <c r="F95" s="10">
        <f t="shared" ref="F95:F107" si="4">D95/D94-1</f>
        <v>9.7620309828348573E-2</v>
      </c>
      <c r="G95" s="6"/>
      <c r="H95" s="6">
        <v>178853.07323246601</v>
      </c>
      <c r="I95" s="6">
        <v>4084.2703959343798</v>
      </c>
      <c r="J95" s="6">
        <v>249947.66847806799</v>
      </c>
      <c r="K95" s="6">
        <v>179776.83857931601</v>
      </c>
      <c r="L95" s="6">
        <v>102870.81951822501</v>
      </c>
      <c r="M95" s="6">
        <v>78000.498537297506</v>
      </c>
      <c r="N95">
        <v>17913.3743059386</v>
      </c>
      <c r="O95">
        <v>3071.92641567182</v>
      </c>
      <c r="P95">
        <v>9113.5224467116495</v>
      </c>
      <c r="Q95">
        <v>80231.674079497607</v>
      </c>
      <c r="R95">
        <v>15614.032442755</v>
      </c>
      <c r="S95">
        <v>22337.276546987199</v>
      </c>
      <c r="T95">
        <v>8350.7592615714202</v>
      </c>
      <c r="U95">
        <v>8049.1484858941503</v>
      </c>
      <c r="V95">
        <v>337.116240144063</v>
      </c>
      <c r="W95">
        <v>3188.9307910483699</v>
      </c>
      <c r="X95">
        <v>4902.9586852777502</v>
      </c>
      <c r="Y95">
        <v>7961.1188067058101</v>
      </c>
      <c r="Z95">
        <v>55899.796863267497</v>
      </c>
      <c r="AB95" s="2">
        <f t="shared" si="3"/>
        <v>3.7230717976203476E-2</v>
      </c>
      <c r="AC95">
        <v>358949.41458396002</v>
      </c>
      <c r="AD95">
        <v>1254094.97897634</v>
      </c>
      <c r="AE95">
        <v>979930.67067907297</v>
      </c>
      <c r="AF95">
        <v>390657.00618246902</v>
      </c>
      <c r="AG95">
        <v>23372.7849084749</v>
      </c>
      <c r="AH95">
        <v>295314.60175658198</v>
      </c>
      <c r="AI95">
        <v>85407.658775881297</v>
      </c>
      <c r="AJ95">
        <v>202771.66762382601</v>
      </c>
      <c r="AK95">
        <v>288629.83654661098</v>
      </c>
      <c r="AL95">
        <v>159887.579225942</v>
      </c>
      <c r="AM95">
        <v>103511.03914012101</v>
      </c>
      <c r="AN95">
        <v>25903.755680478</v>
      </c>
      <c r="AO95">
        <v>2064945.91532381</v>
      </c>
      <c r="AP95">
        <v>24216.120916610998</v>
      </c>
      <c r="AQ95">
        <v>131513.93884352699</v>
      </c>
      <c r="AR95">
        <v>2219589.1135049202</v>
      </c>
      <c r="AS95">
        <v>2297746.8010095302</v>
      </c>
    </row>
    <row r="96" spans="1:45" x14ac:dyDescent="0.25">
      <c r="A96" s="1">
        <f t="shared" si="2"/>
        <v>45261</v>
      </c>
      <c r="B96" s="6">
        <v>293394.69554082502</v>
      </c>
      <c r="C96" s="6">
        <v>-62026.1160297448</v>
      </c>
      <c r="D96" s="6">
        <v>153226.00901189499</v>
      </c>
      <c r="E96" s="6"/>
      <c r="F96" s="10">
        <f t="shared" si="4"/>
        <v>-0.15657200562297435</v>
      </c>
      <c r="G96" s="6"/>
      <c r="H96" s="6">
        <v>150575.63943733301</v>
      </c>
      <c r="I96" s="6">
        <v>4049.7909276657701</v>
      </c>
      <c r="J96" s="6">
        <v>252571.14961445201</v>
      </c>
      <c r="K96" s="6">
        <v>181147.00203673801</v>
      </c>
      <c r="L96" s="6">
        <v>105514.374649934</v>
      </c>
      <c r="M96" s="6">
        <v>77038.012821370605</v>
      </c>
      <c r="N96">
        <v>20051.0476010737</v>
      </c>
      <c r="O96">
        <v>2938.1672745870101</v>
      </c>
      <c r="P96">
        <v>9186.8776194577204</v>
      </c>
      <c r="Q96">
        <v>81484.727763864197</v>
      </c>
      <c r="R96">
        <v>16166.821883533499</v>
      </c>
      <c r="S96">
        <v>22507.410461060601</v>
      </c>
      <c r="T96">
        <v>8384.5290977206805</v>
      </c>
      <c r="U96">
        <v>8044.9088892006903</v>
      </c>
      <c r="V96">
        <v>308.07361933610099</v>
      </c>
      <c r="W96">
        <v>3092.4294259974599</v>
      </c>
      <c r="X96">
        <v>4764.4195215002601</v>
      </c>
      <c r="Y96">
        <v>8015.2216330782903</v>
      </c>
      <c r="Z96">
        <v>56071.9395470624</v>
      </c>
      <c r="AB96" s="2">
        <f t="shared" si="3"/>
        <v>3.0794867504790879E-3</v>
      </c>
      <c r="AC96">
        <v>360865.64452605799</v>
      </c>
      <c r="AD96">
        <v>1271413.3511844</v>
      </c>
      <c r="AE96">
        <v>998395.671027201</v>
      </c>
      <c r="AF96">
        <v>406279.24010673998</v>
      </c>
      <c r="AG96">
        <v>23505.483451243399</v>
      </c>
      <c r="AH96">
        <v>298884.32668023702</v>
      </c>
      <c r="AI96">
        <v>86492.3752954347</v>
      </c>
      <c r="AJ96">
        <v>204331.367609287</v>
      </c>
      <c r="AK96">
        <v>290481.53633475601</v>
      </c>
      <c r="AL96">
        <v>160696.59424994999</v>
      </c>
      <c r="AM96">
        <v>104647.700405032</v>
      </c>
      <c r="AN96">
        <v>26074.118639866501</v>
      </c>
      <c r="AO96">
        <v>2036065.2742673899</v>
      </c>
      <c r="AP96">
        <v>26329.253319498399</v>
      </c>
      <c r="AQ96">
        <v>137338.033477221</v>
      </c>
      <c r="AR96">
        <v>2197490.33305872</v>
      </c>
      <c r="AS96">
        <v>2350985.7652586601</v>
      </c>
    </row>
    <row r="97" spans="1:47" x14ac:dyDescent="0.25">
      <c r="A97" s="1">
        <f t="shared" si="2"/>
        <v>45352</v>
      </c>
      <c r="B97">
        <v>296070.95926730399</v>
      </c>
      <c r="C97">
        <v>-62531.167288989403</v>
      </c>
      <c r="D97">
        <v>157400.40133121001</v>
      </c>
      <c r="F97" s="56">
        <f t="shared" si="4"/>
        <v>2.7243366490025567E-2</v>
      </c>
      <c r="H97">
        <v>154608.11349229599</v>
      </c>
      <c r="I97">
        <v>4132.7384924503704</v>
      </c>
      <c r="J97">
        <v>256799.81175527399</v>
      </c>
      <c r="K97">
        <v>182469.63554462601</v>
      </c>
      <c r="L97">
        <v>104444.740181057</v>
      </c>
      <c r="M97">
        <v>78067.273707170301</v>
      </c>
      <c r="N97">
        <v>18573.058889446402</v>
      </c>
      <c r="O97">
        <v>2944.0532010839502</v>
      </c>
      <c r="P97">
        <v>9306.3779669414907</v>
      </c>
      <c r="Q97">
        <v>86028.954711688697</v>
      </c>
      <c r="R97">
        <v>16263.568457331599</v>
      </c>
      <c r="S97">
        <v>22540.299617757599</v>
      </c>
      <c r="T97">
        <v>8725.8800884558295</v>
      </c>
      <c r="U97">
        <v>8012.4052631771801</v>
      </c>
      <c r="V97">
        <v>339.951938691809</v>
      </c>
      <c r="W97">
        <v>3254.5483462949001</v>
      </c>
      <c r="X97">
        <v>4871.3441885907796</v>
      </c>
      <c r="Y97">
        <v>7890.1702256779899</v>
      </c>
      <c r="Z97">
        <v>57395.191962933801</v>
      </c>
      <c r="AB97" s="50">
        <f t="shared" si="3"/>
        <v>2.3599191084887838E-2</v>
      </c>
      <c r="AC97">
        <v>367553.904924292</v>
      </c>
      <c r="AD97">
        <v>1281593.43593407</v>
      </c>
      <c r="AE97">
        <v>1003935.71348913</v>
      </c>
      <c r="AF97">
        <v>410880.67945114302</v>
      </c>
      <c r="AG97">
        <v>20515.047903461102</v>
      </c>
      <c r="AH97">
        <v>301943.93238221703</v>
      </c>
      <c r="AI97">
        <v>86597.381119154204</v>
      </c>
      <c r="AJ97">
        <v>205646.27673013101</v>
      </c>
      <c r="AK97">
        <v>293843.203663275</v>
      </c>
      <c r="AL97">
        <v>163005.76198464201</v>
      </c>
      <c r="AM97">
        <v>105139.178266114</v>
      </c>
      <c r="AN97">
        <v>26764.5840478422</v>
      </c>
      <c r="AO97">
        <v>2065473.4486708899</v>
      </c>
      <c r="AP97">
        <v>25252.3527915259</v>
      </c>
      <c r="AQ97">
        <v>138574.30573289501</v>
      </c>
      <c r="AR97">
        <v>2221827.6255445899</v>
      </c>
      <c r="AS97">
        <v>2371999.1110506798</v>
      </c>
      <c r="AU97" s="2">
        <f t="shared" ref="AU97:AU104" si="5">AS97/AS96-1</f>
        <v>8.9380999674866235E-3</v>
      </c>
    </row>
    <row r="98" spans="1:47" x14ac:dyDescent="0.25">
      <c r="A98" s="1">
        <f t="shared" si="2"/>
        <v>45444</v>
      </c>
      <c r="B98">
        <v>304216.41026443703</v>
      </c>
      <c r="C98">
        <v>-63406.211096219697</v>
      </c>
      <c r="D98">
        <v>168952.314563216</v>
      </c>
      <c r="F98" s="56">
        <f t="shared" si="4"/>
        <v>7.3391891852282232E-2</v>
      </c>
      <c r="H98">
        <v>166360.98064043</v>
      </c>
      <c r="I98">
        <v>4176.6573606216698</v>
      </c>
      <c r="J98">
        <v>256378.767606343</v>
      </c>
      <c r="K98">
        <v>189983.412246986</v>
      </c>
      <c r="L98">
        <v>109961.011531864</v>
      </c>
      <c r="M98">
        <v>81779.525135198593</v>
      </c>
      <c r="N98">
        <v>21681.802667761898</v>
      </c>
      <c r="O98">
        <v>3237.1858654439998</v>
      </c>
      <c r="P98">
        <v>10005.630953600201</v>
      </c>
      <c r="Q98">
        <v>78129.507934431793</v>
      </c>
      <c r="R98">
        <v>16355.769832018799</v>
      </c>
      <c r="S98">
        <v>23352.192642940699</v>
      </c>
      <c r="T98">
        <v>8720.9564489642107</v>
      </c>
      <c r="U98">
        <v>8104.5444609658598</v>
      </c>
      <c r="V98">
        <v>334.63125637016299</v>
      </c>
      <c r="W98">
        <v>3183.1222679862999</v>
      </c>
      <c r="X98">
        <v>4835.2382438094301</v>
      </c>
      <c r="Y98">
        <v>7940.6252005659198</v>
      </c>
      <c r="Z98">
        <v>58387.794378931998</v>
      </c>
      <c r="AB98" s="50">
        <f t="shared" si="3"/>
        <v>1.729417364156971E-2</v>
      </c>
      <c r="AC98">
        <v>370177.11732903501</v>
      </c>
      <c r="AD98">
        <v>1302326.69300025</v>
      </c>
      <c r="AE98">
        <v>1025268.76222134</v>
      </c>
      <c r="AF98">
        <v>417882.20869447902</v>
      </c>
      <c r="AG98">
        <v>24663.190036545599</v>
      </c>
      <c r="AH98">
        <v>308027.20212045201</v>
      </c>
      <c r="AI98">
        <v>88138.760507670493</v>
      </c>
      <c r="AJ98">
        <v>207213.01575780299</v>
      </c>
      <c r="AK98">
        <v>296575.99022108602</v>
      </c>
      <c r="AL98">
        <v>163958.79667357501</v>
      </c>
      <c r="AM98">
        <v>106247.37973733799</v>
      </c>
      <c r="AN98">
        <v>26887.100670711199</v>
      </c>
      <c r="AO98">
        <v>2107403.4836668801</v>
      </c>
      <c r="AP98">
        <v>26694.522356766302</v>
      </c>
      <c r="AQ98">
        <v>119307.645968846</v>
      </c>
      <c r="AR98">
        <v>2260109.0457598399</v>
      </c>
      <c r="AS98">
        <v>2385555.5881367298</v>
      </c>
      <c r="AU98" s="2">
        <f t="shared" si="5"/>
        <v>5.7152117059795504E-3</v>
      </c>
    </row>
    <row r="99" spans="1:47" x14ac:dyDescent="0.25">
      <c r="A99" s="1">
        <f t="shared" si="2"/>
        <v>45536</v>
      </c>
      <c r="B99">
        <v>306611.90270655102</v>
      </c>
      <c r="C99">
        <v>-64291.389784091603</v>
      </c>
      <c r="D99">
        <v>160184.27052506901</v>
      </c>
      <c r="F99" s="56">
        <f t="shared" si="4"/>
        <v>-5.1896560640880107E-2</v>
      </c>
      <c r="H99">
        <v>157285.32656724</v>
      </c>
      <c r="I99">
        <v>4264.9639406925598</v>
      </c>
      <c r="J99">
        <v>262394.65265152801</v>
      </c>
      <c r="K99">
        <v>195965.61128281601</v>
      </c>
      <c r="L99">
        <v>111608.010249317</v>
      </c>
      <c r="M99">
        <v>85446.769616860998</v>
      </c>
      <c r="N99">
        <v>22277.0236890167</v>
      </c>
      <c r="O99">
        <v>3078.2254406044399</v>
      </c>
      <c r="P99">
        <v>8721.7120713372206</v>
      </c>
      <c r="Q99">
        <v>82042.323024427402</v>
      </c>
      <c r="R99">
        <v>16701.968693868799</v>
      </c>
      <c r="S99">
        <v>25128.4899695473</v>
      </c>
      <c r="T99">
        <v>8954.6686922625304</v>
      </c>
      <c r="U99">
        <v>8198.96595279137</v>
      </c>
      <c r="V99">
        <v>323.345107217161</v>
      </c>
      <c r="W99">
        <v>3346.8312275798698</v>
      </c>
      <c r="X99">
        <v>4977.4168437097596</v>
      </c>
      <c r="Y99">
        <v>8497.0098409215207</v>
      </c>
      <c r="Z99">
        <v>58482.087738871502</v>
      </c>
      <c r="AB99" s="50">
        <f t="shared" si="3"/>
        <v>1.6149498528330586E-3</v>
      </c>
      <c r="AC99">
        <v>372457.70953309297</v>
      </c>
      <c r="AD99">
        <v>1316438.24216127</v>
      </c>
      <c r="AE99">
        <v>1038833.18390821</v>
      </c>
      <c r="AF99">
        <v>426029.14372983901</v>
      </c>
      <c r="AG99">
        <v>25583.143038844501</v>
      </c>
      <c r="AH99">
        <v>307369.98300627398</v>
      </c>
      <c r="AI99">
        <v>89511.625991767607</v>
      </c>
      <c r="AJ99">
        <v>209408.142741741</v>
      </c>
      <c r="AK99">
        <v>298173.81357101398</v>
      </c>
      <c r="AL99">
        <v>165272.05511565501</v>
      </c>
      <c r="AM99">
        <v>106665.725886669</v>
      </c>
      <c r="AN99">
        <v>26948.390588201499</v>
      </c>
      <c r="AO99">
        <v>2106263.2652158001</v>
      </c>
      <c r="AP99">
        <v>26495.857850184999</v>
      </c>
      <c r="AQ99">
        <v>142486.38251237199</v>
      </c>
      <c r="AR99">
        <v>2271206.6324331299</v>
      </c>
      <c r="AS99">
        <v>2411932.56122615</v>
      </c>
      <c r="AU99" s="2">
        <f t="shared" si="5"/>
        <v>1.105695177282473E-2</v>
      </c>
    </row>
    <row r="100" spans="1:47" x14ac:dyDescent="0.25">
      <c r="A100" s="1">
        <f t="shared" si="2"/>
        <v>45627</v>
      </c>
      <c r="B100">
        <v>308801.79022351798</v>
      </c>
      <c r="C100">
        <v>-64688.941054649797</v>
      </c>
      <c r="D100">
        <v>153647.55361652299</v>
      </c>
      <c r="F100" s="56">
        <f t="shared" si="4"/>
        <v>-4.0807483076329976E-2</v>
      </c>
      <c r="H100">
        <v>150597.72122395999</v>
      </c>
      <c r="I100">
        <v>4636.7293723061302</v>
      </c>
      <c r="J100">
        <v>259931.78007789899</v>
      </c>
      <c r="K100">
        <v>190058.639948925</v>
      </c>
      <c r="L100">
        <v>110532.280549091</v>
      </c>
      <c r="M100">
        <v>80941.604351595597</v>
      </c>
      <c r="N100">
        <v>20884.2896329424</v>
      </c>
      <c r="O100">
        <v>3120.9185463009499</v>
      </c>
      <c r="P100">
        <v>9732.2671789164706</v>
      </c>
      <c r="Q100">
        <v>82603.2097488578</v>
      </c>
      <c r="R100">
        <v>16671.904084724501</v>
      </c>
      <c r="S100">
        <v>24516.800086348401</v>
      </c>
      <c r="T100">
        <v>9339.2434229939809</v>
      </c>
      <c r="U100">
        <v>8423.9524171579596</v>
      </c>
      <c r="V100">
        <v>341.415061947374</v>
      </c>
      <c r="W100">
        <v>2807.52116189664</v>
      </c>
      <c r="X100">
        <v>4988.1297462862804</v>
      </c>
      <c r="Y100">
        <v>8061.0568326492203</v>
      </c>
      <c r="Z100">
        <v>59313.121289769697</v>
      </c>
      <c r="AB100" s="50">
        <f t="shared" si="3"/>
        <v>1.4210052736298495E-2</v>
      </c>
      <c r="AC100">
        <v>376152.45315743401</v>
      </c>
      <c r="AD100">
        <v>1334777.7942979501</v>
      </c>
      <c r="AE100">
        <v>1055752.71015698</v>
      </c>
      <c r="AF100">
        <v>436314.28931730799</v>
      </c>
      <c r="AG100">
        <v>24671.6559428371</v>
      </c>
      <c r="AH100">
        <v>315236.72978335503</v>
      </c>
      <c r="AI100">
        <v>90870.167612484394</v>
      </c>
      <c r="AJ100">
        <v>211831.52588276501</v>
      </c>
      <c r="AK100">
        <v>299824.97165408701</v>
      </c>
      <c r="AL100">
        <v>165730.14249966599</v>
      </c>
      <c r="AM100">
        <v>108041.303528112</v>
      </c>
      <c r="AN100">
        <v>27104.531984073201</v>
      </c>
      <c r="AO100">
        <v>2120785.1811268101</v>
      </c>
      <c r="AP100">
        <v>26752.389858921299</v>
      </c>
      <c r="AQ100">
        <v>150293.88417370699</v>
      </c>
      <c r="AR100">
        <v>2292461.4207810299</v>
      </c>
      <c r="AS100">
        <v>2465748.6776943798</v>
      </c>
      <c r="AU100" s="2">
        <f t="shared" si="5"/>
        <v>2.2312446597126723E-2</v>
      </c>
    </row>
    <row r="101" spans="1:47" x14ac:dyDescent="0.25">
      <c r="A101" s="1">
        <f t="shared" si="2"/>
        <v>45717</v>
      </c>
      <c r="B101">
        <v>314196.40144067898</v>
      </c>
      <c r="C101">
        <v>-66476.618402319102</v>
      </c>
      <c r="D101">
        <v>155714.607778579</v>
      </c>
      <c r="F101" s="57">
        <f t="shared" si="4"/>
        <v>1.3453218833636704E-2</v>
      </c>
      <c r="H101">
        <v>152802.63777686699</v>
      </c>
      <c r="I101">
        <v>4191.5687030383197</v>
      </c>
      <c r="J101">
        <v>257363.037436702</v>
      </c>
      <c r="K101">
        <v>194566.31730006699</v>
      </c>
      <c r="L101">
        <v>111474.901072269</v>
      </c>
      <c r="M101">
        <v>83115.828151893496</v>
      </c>
      <c r="N101">
        <v>20431.167835854601</v>
      </c>
      <c r="O101">
        <v>3342.9300468070601</v>
      </c>
      <c r="P101">
        <v>9893.9194452214706</v>
      </c>
      <c r="Q101">
        <v>80618.711901449104</v>
      </c>
      <c r="R101">
        <v>16926.727431486201</v>
      </c>
      <c r="S101">
        <v>24712.935058966799</v>
      </c>
      <c r="T101">
        <v>8589.4665677844805</v>
      </c>
      <c r="U101">
        <v>8438.5304067868692</v>
      </c>
      <c r="V101">
        <v>337.92002827405202</v>
      </c>
      <c r="W101">
        <v>3160.07507805163</v>
      </c>
      <c r="X101">
        <v>5130.1781311294299</v>
      </c>
      <c r="Y101">
        <v>9025.5691909382804</v>
      </c>
      <c r="Z101">
        <v>59628.491883175098</v>
      </c>
      <c r="AB101" s="55">
        <f t="shared" si="3"/>
        <v>5.3170459848956853E-3</v>
      </c>
      <c r="AC101">
        <v>378305.62483223301</v>
      </c>
      <c r="AD101">
        <v>1348978.8966399899</v>
      </c>
      <c r="AE101">
        <v>1076173.1394535799</v>
      </c>
      <c r="AF101">
        <v>442895.30534485797</v>
      </c>
      <c r="AG101">
        <v>23347.822003294899</v>
      </c>
      <c r="AH101">
        <v>326328.65035592101</v>
      </c>
      <c r="AI101">
        <v>92064.587264605798</v>
      </c>
      <c r="AJ101">
        <v>214340.681177839</v>
      </c>
      <c r="AK101">
        <v>297021.13987855997</v>
      </c>
      <c r="AL101">
        <v>164725.198641483</v>
      </c>
      <c r="AM101">
        <v>106171.60554989699</v>
      </c>
      <c r="AN101">
        <v>27368.971656769401</v>
      </c>
      <c r="AO101">
        <v>2144180.8231620002</v>
      </c>
      <c r="AP101">
        <v>29085.192633039202</v>
      </c>
      <c r="AQ101">
        <v>160523.82886817699</v>
      </c>
      <c r="AR101">
        <v>2319106.1345767798</v>
      </c>
      <c r="AS101">
        <v>2493165.69848258</v>
      </c>
      <c r="AU101" s="2">
        <f t="shared" si="5"/>
        <v>1.111914650354251E-2</v>
      </c>
    </row>
    <row r="102" spans="1:47" x14ac:dyDescent="0.25">
      <c r="A102" s="1">
        <f t="shared" si="2"/>
        <v>45809</v>
      </c>
      <c r="B102">
        <v>317796.62468800601</v>
      </c>
      <c r="C102">
        <v>-66533.703985364802</v>
      </c>
      <c r="D102">
        <v>159438.326976073</v>
      </c>
      <c r="F102" s="57">
        <f t="shared" si="4"/>
        <v>2.3913743550566746E-2</v>
      </c>
      <c r="H102">
        <v>156648.71095044599</v>
      </c>
      <c r="I102">
        <v>4399.1469471630799</v>
      </c>
      <c r="J102">
        <v>276713.245730964</v>
      </c>
      <c r="K102">
        <v>202010.192620138</v>
      </c>
      <c r="L102">
        <v>118741.975845245</v>
      </c>
      <c r="M102">
        <v>85238.566523834001</v>
      </c>
      <c r="N102">
        <v>23432.170307733799</v>
      </c>
      <c r="O102">
        <v>3538.12701575962</v>
      </c>
      <c r="P102">
        <v>10382.321148327899</v>
      </c>
      <c r="Q102">
        <v>85743.427814594106</v>
      </c>
      <c r="R102">
        <v>18128.127112619099</v>
      </c>
      <c r="S102">
        <v>25686.0085676255</v>
      </c>
      <c r="T102">
        <v>8916.3966615111294</v>
      </c>
      <c r="U102">
        <v>8522.8146251703693</v>
      </c>
      <c r="V102">
        <v>344.80453454635801</v>
      </c>
      <c r="W102">
        <v>3242.4305186166798</v>
      </c>
      <c r="X102">
        <v>5077.6393262347001</v>
      </c>
      <c r="Y102">
        <v>8992.5359034524699</v>
      </c>
      <c r="Z102">
        <v>64005.718070010502</v>
      </c>
      <c r="AB102" s="55">
        <f t="shared" si="3"/>
        <v>7.3408299431944712E-2</v>
      </c>
      <c r="AC102">
        <v>382523.645505113</v>
      </c>
      <c r="AD102">
        <v>1353072.64832824</v>
      </c>
      <c r="AE102">
        <v>1069726.8866017901</v>
      </c>
      <c r="AF102">
        <v>445671.00225857401</v>
      </c>
      <c r="AG102">
        <v>26513.077168810902</v>
      </c>
      <c r="AH102">
        <v>317394.45300659299</v>
      </c>
      <c r="AI102">
        <v>92555.777329840901</v>
      </c>
      <c r="AJ102">
        <v>212037.92383689701</v>
      </c>
      <c r="AK102">
        <v>305568.97428857</v>
      </c>
      <c r="AL102">
        <v>168622.74972698701</v>
      </c>
      <c r="AM102">
        <v>109791.835312569</v>
      </c>
      <c r="AN102">
        <v>27719.405886436802</v>
      </c>
      <c r="AO102">
        <v>2167554.51154823</v>
      </c>
      <c r="AP102">
        <v>34724.843248175901</v>
      </c>
      <c r="AQ102">
        <v>142295.842347153</v>
      </c>
      <c r="AR102">
        <v>2345931.5521092899</v>
      </c>
      <c r="AS102">
        <v>2508630.02538533</v>
      </c>
      <c r="AU102" s="2">
        <f t="shared" si="5"/>
        <v>6.202687174848398E-3</v>
      </c>
    </row>
    <row r="103" spans="1:47" x14ac:dyDescent="0.25">
      <c r="A103" s="1">
        <f t="shared" si="2"/>
        <v>45901</v>
      </c>
      <c r="B103">
        <v>318342.18615139602</v>
      </c>
      <c r="C103">
        <v>-67353.715337676404</v>
      </c>
      <c r="D103">
        <v>163882.220733553</v>
      </c>
      <c r="F103" s="57">
        <f t="shared" si="4"/>
        <v>2.7872180057100682E-2</v>
      </c>
      <c r="H103">
        <v>160886.48963077401</v>
      </c>
      <c r="I103">
        <v>4403.7766266911103</v>
      </c>
      <c r="J103">
        <v>262310.30868091801</v>
      </c>
      <c r="K103">
        <v>203183.62120260799</v>
      </c>
      <c r="L103">
        <v>116803.910848945</v>
      </c>
      <c r="M103">
        <v>87529.558325001402</v>
      </c>
      <c r="N103">
        <v>22745.316467135301</v>
      </c>
      <c r="O103">
        <v>3176.34981006713</v>
      </c>
      <c r="P103">
        <v>9562.0431564031496</v>
      </c>
      <c r="Q103">
        <v>79217.222166847001</v>
      </c>
      <c r="R103">
        <v>17863.393663558902</v>
      </c>
      <c r="S103">
        <v>27203.755376683901</v>
      </c>
      <c r="T103">
        <v>9235.1287655762098</v>
      </c>
      <c r="U103">
        <v>8062.1673888712903</v>
      </c>
      <c r="V103">
        <v>324.75311411736101</v>
      </c>
      <c r="W103">
        <v>3362.4460642470199</v>
      </c>
      <c r="X103">
        <v>5040.7654549075096</v>
      </c>
      <c r="Y103">
        <v>9101.3880670683393</v>
      </c>
      <c r="Z103">
        <v>62632.488000429497</v>
      </c>
      <c r="AB103" s="55">
        <f t="shared" si="3"/>
        <v>-2.1454802961181407E-2</v>
      </c>
      <c r="AC103">
        <v>386117.59957466001</v>
      </c>
      <c r="AD103">
        <v>1366168.4861467199</v>
      </c>
      <c r="AE103">
        <v>1082877.04905535</v>
      </c>
      <c r="AF103">
        <v>445733.50912795501</v>
      </c>
      <c r="AG103">
        <v>26974.518160809701</v>
      </c>
      <c r="AH103">
        <v>319705.83806479798</v>
      </c>
      <c r="AI103">
        <v>93992.749440748303</v>
      </c>
      <c r="AJ103">
        <v>216369.136747418</v>
      </c>
      <c r="AK103">
        <v>306991.35435337899</v>
      </c>
      <c r="AL103">
        <v>169564.38298055099</v>
      </c>
      <c r="AM103">
        <v>110470.01551817601</v>
      </c>
      <c r="AN103">
        <v>27770.434640985201</v>
      </c>
      <c r="AO103">
        <v>2177306.2945661098</v>
      </c>
      <c r="AP103">
        <v>30462.070484631498</v>
      </c>
      <c r="AQ103">
        <v>159315.448126859</v>
      </c>
      <c r="AR103">
        <v>2356939.8801424801</v>
      </c>
      <c r="AS103">
        <v>2511421.4094747598</v>
      </c>
      <c r="AU103" s="2">
        <f t="shared" si="5"/>
        <v>1.1127125407826011E-3</v>
      </c>
    </row>
    <row r="104" spans="1:47" x14ac:dyDescent="0.25">
      <c r="A104" s="1">
        <f t="shared" si="2"/>
        <v>45992</v>
      </c>
      <c r="B104">
        <v>321481.94199128199</v>
      </c>
      <c r="C104">
        <v>-68128.502694440394</v>
      </c>
      <c r="D104">
        <v>148905.45344957701</v>
      </c>
      <c r="F104" s="57">
        <f t="shared" si="4"/>
        <v>-9.1387383066561467E-2</v>
      </c>
      <c r="H104">
        <v>145684.06443975199</v>
      </c>
      <c r="I104">
        <v>4920.1984929240898</v>
      </c>
      <c r="J104">
        <v>267085.90953858802</v>
      </c>
      <c r="K104">
        <v>199897.47979556301</v>
      </c>
      <c r="L104">
        <v>117472.134386502</v>
      </c>
      <c r="M104">
        <v>83764.147367097205</v>
      </c>
      <c r="N104">
        <v>22543.8924288702</v>
      </c>
      <c r="O104">
        <v>3336.8542293867199</v>
      </c>
      <c r="P104">
        <v>10391.982381337401</v>
      </c>
      <c r="Q104">
        <v>83289.930188136001</v>
      </c>
      <c r="R104">
        <v>18001.141202748098</v>
      </c>
      <c r="S104">
        <v>26176.984271216999</v>
      </c>
      <c r="T104">
        <v>9498.8581578230405</v>
      </c>
      <c r="U104">
        <v>8489.8171889625191</v>
      </c>
      <c r="V104">
        <v>349.81946467238299</v>
      </c>
      <c r="W104">
        <v>2962.9191690846201</v>
      </c>
      <c r="X104">
        <v>5147.8793742580401</v>
      </c>
      <c r="Y104">
        <v>8789.4281548068593</v>
      </c>
      <c r="Z104">
        <v>62795.163916299702</v>
      </c>
      <c r="AB104" s="55">
        <f t="shared" si="3"/>
        <v>2.5973088578101766E-3</v>
      </c>
      <c r="AC104">
        <v>390859.69415562297</v>
      </c>
      <c r="AD104">
        <v>1390851.94810984</v>
      </c>
      <c r="AE104">
        <v>1105384.0687388601</v>
      </c>
      <c r="AF104">
        <v>458943.01877182198</v>
      </c>
      <c r="AG104">
        <v>26231.7389941654</v>
      </c>
      <c r="AH104">
        <v>325707.754909262</v>
      </c>
      <c r="AI104">
        <v>95477.574354483499</v>
      </c>
      <c r="AJ104">
        <v>223131.73790088599</v>
      </c>
      <c r="AK104">
        <v>308942.57554673398</v>
      </c>
      <c r="AL104">
        <v>171236.24386567299</v>
      </c>
      <c r="AM104">
        <v>110805.779545618</v>
      </c>
      <c r="AN104">
        <v>27975.507438801102</v>
      </c>
      <c r="AO104">
        <v>2188571.2303310502</v>
      </c>
      <c r="AP104">
        <v>31686.129685942899</v>
      </c>
      <c r="AQ104">
        <v>157918.931133848</v>
      </c>
      <c r="AR104">
        <v>2369702.0544133601</v>
      </c>
      <c r="AS104">
        <v>2569029.21427724</v>
      </c>
      <c r="AU104" s="2">
        <f t="shared" si="5"/>
        <v>2.2938326712173884E-2</v>
      </c>
    </row>
    <row r="105" spans="1:47" x14ac:dyDescent="0.25">
      <c r="A105" s="1">
        <f t="shared" si="2"/>
        <v>46082</v>
      </c>
      <c r="D105">
        <f>D101*(1+E105)</f>
        <v>154624.60552412894</v>
      </c>
      <c r="E105" s="2">
        <v>-7.0000000000000001E-3</v>
      </c>
      <c r="F105" s="55">
        <f t="shared" si="4"/>
        <v>3.8407942369206749E-2</v>
      </c>
      <c r="Z105">
        <f>Z101*(1+AA105)</f>
        <v>63742.85782311418</v>
      </c>
      <c r="AA105" s="2">
        <v>6.9000000000000006E-2</v>
      </c>
      <c r="AB105" s="2">
        <f>Z105/Z104-1</f>
        <v>1.509182949307486E-2</v>
      </c>
      <c r="AS105">
        <f>AS101*(1+AT105)</f>
        <v>2594986.1303919782</v>
      </c>
      <c r="AT105" s="2">
        <v>4.0839817414209299E-2</v>
      </c>
      <c r="AU105" s="2">
        <f>AS105/AS104-1</f>
        <v>1.0103783939273248E-2</v>
      </c>
    </row>
    <row r="106" spans="1:47" x14ac:dyDescent="0.25">
      <c r="A106" s="1">
        <f t="shared" si="2"/>
        <v>46174</v>
      </c>
      <c r="D106">
        <f t="shared" ref="D106:D108" si="6">D102*(1+E106)</f>
        <v>154495.73883981473</v>
      </c>
      <c r="E106" s="2">
        <v>-3.1E-2</v>
      </c>
      <c r="F106" s="55">
        <f t="shared" si="4"/>
        <v>-8.334164144018219E-4</v>
      </c>
      <c r="Z106">
        <f t="shared" ref="Z106:Z108" si="7">Z102*(1+AA106)</f>
        <v>66034.699332829841</v>
      </c>
      <c r="AA106" s="2">
        <v>3.1699999999999999E-2</v>
      </c>
      <c r="AB106" s="2">
        <f t="shared" ref="AB106:AB108" si="8">Z106/Z105-1</f>
        <v>3.5954483184226005E-2</v>
      </c>
      <c r="AS106">
        <f t="shared" ref="AS106:AS108" si="9">AS102*(1+AT106)</f>
        <v>2610097.0835847524</v>
      </c>
      <c r="AT106" s="2">
        <v>4.0447199137639597E-2</v>
      </c>
      <c r="AU106" s="2">
        <f t="shared" ref="AU106:AU108" si="10">AS106/AS105-1</f>
        <v>5.8231344729737788E-3</v>
      </c>
    </row>
    <row r="107" spans="1:47" x14ac:dyDescent="0.25">
      <c r="A107" s="1">
        <f t="shared" si="2"/>
        <v>46266</v>
      </c>
      <c r="D107">
        <f t="shared" si="6"/>
        <v>164865.51405795431</v>
      </c>
      <c r="E107" s="2">
        <v>6.0000000000000001E-3</v>
      </c>
      <c r="F107" s="55">
        <f t="shared" si="4"/>
        <v>6.7120137396742274E-2</v>
      </c>
      <c r="Z107">
        <f t="shared" si="7"/>
        <v>68108.487950675772</v>
      </c>
      <c r="AA107" s="2">
        <v>8.7430662984499599E-2</v>
      </c>
      <c r="AB107" s="2">
        <f t="shared" si="8"/>
        <v>3.1404528812852828E-2</v>
      </c>
      <c r="AS107">
        <f t="shared" si="9"/>
        <v>2627862.8361186315</v>
      </c>
      <c r="AT107" s="2">
        <v>4.6364750338026499E-2</v>
      </c>
      <c r="AU107" s="2">
        <f t="shared" si="10"/>
        <v>6.8065485554580363E-3</v>
      </c>
    </row>
    <row r="108" spans="1:47" x14ac:dyDescent="0.25">
      <c r="A108" s="1">
        <f t="shared" si="2"/>
        <v>46357</v>
      </c>
      <c r="D108">
        <f t="shared" si="6"/>
        <v>147863.11527542997</v>
      </c>
      <c r="E108" s="2">
        <v>-7.0000000000000001E-3</v>
      </c>
      <c r="F108" s="55">
        <f>D108/D107-1</f>
        <v>-0.10312889799711278</v>
      </c>
      <c r="Z108">
        <f t="shared" si="7"/>
        <v>67148.091369904534</v>
      </c>
      <c r="AA108" s="2">
        <v>6.9319469559899538E-2</v>
      </c>
      <c r="AB108" s="2">
        <f t="shared" si="8"/>
        <v>-1.4100982266215589E-2</v>
      </c>
      <c r="AS108">
        <f t="shared" si="9"/>
        <v>2694937.8871408701</v>
      </c>
      <c r="AT108" s="2">
        <v>4.9010214505891797E-2</v>
      </c>
      <c r="AU108" s="2">
        <f t="shared" si="10"/>
        <v>2.5524563192692584E-2</v>
      </c>
    </row>
    <row r="110" spans="1:47" x14ac:dyDescent="0.25">
      <c r="AA110" s="2">
        <v>20.260000000000002</v>
      </c>
      <c r="AB110" s="54">
        <v>6.2E-2</v>
      </c>
    </row>
    <row r="111" spans="1:47" x14ac:dyDescent="0.25">
      <c r="E111" s="2">
        <v>-3.6695233066860794E-3</v>
      </c>
      <c r="F111" s="47">
        <f>AVERAGE(E105:E108)</f>
        <v>-9.75E-3</v>
      </c>
      <c r="AB111" s="47">
        <f>AVERAGE(AA105:AA108)</f>
        <v>6.4362533136099784E-2</v>
      </c>
    </row>
    <row r="112" spans="1:47" x14ac:dyDescent="0.25">
      <c r="E112" s="2">
        <v>-4.5268707876956853E-2</v>
      </c>
    </row>
    <row r="113" spans="5:29" x14ac:dyDescent="0.25">
      <c r="E113" s="2">
        <v>1.7414085766911225E-2</v>
      </c>
      <c r="AA113" s="2">
        <v>6.9000000000000006E-2</v>
      </c>
      <c r="AB113" s="10">
        <v>-1.1743914785206755E-2</v>
      </c>
      <c r="AC113" s="2">
        <f>0.1*AA113+0.9*AB113</f>
        <v>-3.6695233066860794E-3</v>
      </c>
    </row>
    <row r="114" spans="5:29" x14ac:dyDescent="0.25">
      <c r="E114" s="2">
        <v>2.9919266254993309E-3</v>
      </c>
      <c r="AA114" s="2">
        <v>3.1699999999999999E-2</v>
      </c>
      <c r="AB114" s="10">
        <v>-7.8255296967081223E-2</v>
      </c>
      <c r="AC114" s="2">
        <f>0.3*AA114+0.7*AB114</f>
        <v>-4.5268707876956853E-2</v>
      </c>
    </row>
    <row r="115" spans="5:29" x14ac:dyDescent="0.25">
      <c r="AA115" s="2">
        <v>8.7430662984499599E-2</v>
      </c>
      <c r="AB115" s="10">
        <v>-1.2593018754912366E-2</v>
      </c>
      <c r="AC115" s="2">
        <f>0.3*AA115+0.7*AB115</f>
        <v>1.7414085766911225E-2</v>
      </c>
    </row>
    <row r="116" spans="5:29" x14ac:dyDescent="0.25">
      <c r="AA116" s="2">
        <v>6.9319469559899538E-2</v>
      </c>
      <c r="AB116" s="10">
        <v>-4.3778003672118038E-3</v>
      </c>
      <c r="AC116" s="2">
        <f t="shared" ref="AC116" si="11">0.1*AA116+0.9*AB116</f>
        <v>2.9919266254993309E-3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PIB_N</vt:lpstr>
      <vt:lpstr>Tn</vt:lpstr>
      <vt:lpstr>Tv</vt:lpstr>
      <vt:lpstr>Def</vt:lpstr>
      <vt:lpstr>PIB_R</vt:lpstr>
      <vt:lpstr>PIB_R_SA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abdelaziz lamara</dc:creator>
  <cp:lastModifiedBy>abdelaziz lamara</cp:lastModifiedBy>
  <dcterms:created xsi:type="dcterms:W3CDTF">2024-05-19T14:27:01Z</dcterms:created>
  <dcterms:modified xsi:type="dcterms:W3CDTF">2026-09-22T15:09:22Z</dcterms:modified>
</cp:coreProperties>
</file>